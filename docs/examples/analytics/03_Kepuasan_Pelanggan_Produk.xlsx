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A_DULU" sheetId="1" state="visible" r:id="rId1"/>
    <sheet name="Kamus_Data" sheetId="2" state="visible" r:id="rId2"/>
    <sheet name="Rencana_ETL" sheetId="3" state="visible" r:id="rId3"/>
    <sheet name="Master_Unit" sheetId="4" state="visible" r:id="rId4"/>
    <sheet name="Master_Produk" sheetId="5" state="visible" r:id="rId5"/>
    <sheet name="Master_Area" sheetId="6" state="visible" r:id="rId6"/>
    <sheet name="Master_Tim" sheetId="7" state="visible" r:id="rId7"/>
    <sheet name="Master_Indikator" sheetId="8" state="visible" r:id="rId8"/>
    <sheet name="Survey_Data" sheetId="9" state="visible" r:id="rId9"/>
    <sheet name="CSAT_Rekap" sheetId="10" state="visible" r:id="rId10"/>
    <sheet name="Action_Plan" sheetId="11" state="visible" r:id="rId11"/>
  </sheets>
  <definedNames>
    <definedName name="REF_unit_code">'Master_Unit'!$A$2:$A$4</definedName>
    <definedName name="REF_product_code">'Master_Produk'!$A$2:$A$3</definedName>
    <definedName name="REF_area_code">'Master_Area'!$A$2:$A$3</definedName>
    <definedName name="REF_owner_team_code">'Master_Tim'!$A$2:$A$4</definedName>
    <definedName name="REF_indicator_code">'Master_Indikator'!$A$2:$A$9</definedName>
    <definedName name="_xlnm._FilterDatabase" localSheetId="0" hidden="1">'BACA_DULU'!$A$1:$B$11</definedName>
    <definedName name="_xlnm._FilterDatabase" localSheetId="1" hidden="1">'Kamus_Data'!$A$1:$G$82</definedName>
    <definedName name="_xlnm._FilterDatabase" localSheetId="2" hidden="1">'Rencana_ETL'!$A$1:$G$9</definedName>
    <definedName name="_xlnm._FilterDatabase" localSheetId="3" hidden="1">'Master_Unit'!$A$1:$C$4</definedName>
    <definedName name="_xlnm._FilterDatabase" localSheetId="4" hidden="1">'Master_Produk'!$A$1:$D$3</definedName>
    <definedName name="_xlnm._FilterDatabase" localSheetId="5" hidden="1">'Master_Area'!$A$1:$C$3</definedName>
    <definedName name="_xlnm._FilterDatabase" localSheetId="6" hidden="1">'Master_Tim'!$A$1:$C$4</definedName>
    <definedName name="_xlnm._FilterDatabase" localSheetId="7" hidden="1">'Master_Indikator'!$A$1:$F$9</definedName>
    <definedName name="_xlnm._FilterDatabase" localSheetId="8" hidden="1">'Survey_Data'!$A$1:$S$49</definedName>
    <definedName name="_xlnm._FilterDatabase" localSheetId="9" hidden="1">'CSAT_Rekap'!$A$1:$T$5</definedName>
    <definedName name="_xlnm._FilterDatabase" localSheetId="10" hidden="1">'Action_Plan'!$A$1:$W$2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_Master_Unit" displayName="T_Master_Unit" ref="A1:C4" headerRowCount="1">
  <autoFilter ref="A1:C4"/>
  <tableColumns count="3">
    <tableColumn id="1" name="unit_code"/>
    <tableColumn id="2" name="unit_label"/>
    <tableColumn id="3" name="is_active"/>
  </tableColumns>
  <tableStyleInfo name="TableStyleMedium2" showRowStripes="1"/>
</table>
</file>

<file path=xl/tables/table2.xml><?xml version="1.0" encoding="utf-8"?>
<table xmlns="http://schemas.openxmlformats.org/spreadsheetml/2006/main" id="2" name="T_Master_Produk" displayName="T_Master_Produk" ref="A1:D3" headerRowCount="1">
  <autoFilter ref="A1:D3"/>
  <tableColumns count="4">
    <tableColumn id="1" name="product_code"/>
    <tableColumn id="2" name="product_label"/>
    <tableColumn id="3" name="product_group"/>
    <tableColumn id="4" name="is_active"/>
  </tableColumns>
  <tableStyleInfo name="TableStyleMedium2" showRowStripes="1"/>
</table>
</file>

<file path=xl/tables/table3.xml><?xml version="1.0" encoding="utf-8"?>
<table xmlns="http://schemas.openxmlformats.org/spreadsheetml/2006/main" id="3" name="T_Master_Area" displayName="T_Master_Area" ref="A1:C3" headerRowCount="1">
  <autoFilter ref="A1:C3"/>
  <tableColumns count="3">
    <tableColumn id="1" name="area_code"/>
    <tableColumn id="2" name="area_label"/>
    <tableColumn id="3" name="is_active"/>
  </tableColumns>
  <tableStyleInfo name="TableStyleMedium2" showRowStripes="1"/>
</table>
</file>

<file path=xl/tables/table4.xml><?xml version="1.0" encoding="utf-8"?>
<table xmlns="http://schemas.openxmlformats.org/spreadsheetml/2006/main" id="4" name="T_Master_Tim" displayName="T_Master_Tim" ref="A1:C4" headerRowCount="1">
  <autoFilter ref="A1:C4"/>
  <tableColumns count="3">
    <tableColumn id="1" name="owner_team_code"/>
    <tableColumn id="2" name="team_label"/>
    <tableColumn id="3" name="unit_code"/>
  </tableColumns>
  <tableStyleInfo name="TableStyleMedium2" showRowStripes="1"/>
</table>
</file>

<file path=xl/tables/table5.xml><?xml version="1.0" encoding="utf-8"?>
<table xmlns="http://schemas.openxmlformats.org/spreadsheetml/2006/main" id="5" name="T_Master_Indikator" displayName="T_Master_Indikator" ref="A1:F9" headerRowCount="1">
  <autoFilter ref="A1:F9"/>
  <tableColumns count="6">
    <tableColumn id="1" name="indicator_code"/>
    <tableColumn id="2" name="indicator_label"/>
    <tableColumn id="3" name="measurement_unit"/>
    <tableColumn id="4" name="direction"/>
    <tableColumn id="5" name="aggregation"/>
    <tableColumn id="6" name="definition"/>
  </tableColumns>
  <tableStyleInfo name="TableStyleMedium2" showRowStripes="1"/>
</table>
</file>

<file path=xl/tables/table6.xml><?xml version="1.0" encoding="utf-8"?>
<table xmlns="http://schemas.openxmlformats.org/spreadsheetml/2006/main" id="6" name="T_Survey_Data" displayName="T_Survey_Data" ref="A1:S49" headerRowCount="1">
  <autoFilter ref="A1:S49"/>
  <tableColumns count="19">
    <tableColumn id="1" name="response_id"/>
    <tableColumn id="2" name="respondent_code"/>
    <tableColumn id="3" name="unit_code"/>
    <tableColumn id="4" name="product_code"/>
    <tableColumn id="5" name="area_code"/>
    <tableColumn id="6" name="survey_version"/>
    <tableColumn id="7" name="surveyed_at"/>
    <tableColumn id="8" name="product_score"/>
    <tableColumn id="9" name="service_score"/>
    <tableColumn id="10" name="value_score"/>
    <tableColumn id="11" name="is_valid_response"/>
    <tableColumn id="12" name="excluded_reason"/>
    <tableColumn id="13" name="valid_response_count"/>
    <tableColumn id="14" name="satisfied_count"/>
    <tableColumn id="15" name="sampling_method"/>
    <tableColumn id="16" name="period_start"/>
    <tableColumn id="17" name="period_end"/>
    <tableColumn id="18" name="collected_at"/>
    <tableColumn id="19" name="data_as_of_at"/>
  </tableColumns>
  <tableStyleInfo name="TableStyleMedium2" showRowStripes="1"/>
</table>
</file>

<file path=xl/tables/table7.xml><?xml version="1.0" encoding="utf-8"?>
<table xmlns="http://schemas.openxmlformats.org/spreadsheetml/2006/main" id="7" name="T_CSAT_Rekap" displayName="T_CSAT_Rekap" ref="A1:T5" headerRowCount="1">
  <autoFilter ref="A1:T5"/>
  <tableColumns count="20">
    <tableColumn id="1" name="csat_summary_id"/>
    <tableColumn id="2" name="unit_code"/>
    <tableColumn id="3" name="product_code"/>
    <tableColumn id="4" name="area_code"/>
    <tableColumn id="5" name="period_start"/>
    <tableColumn id="6" name="period_end"/>
    <tableColumn id="7" name="survey_version"/>
    <tableColumn id="8" name="invited_count"/>
    <tableColumn id="9" name="received_count"/>
    <tableColumn id="10" name="valid_response_count"/>
    <tableColumn id="11" name="excluded_count"/>
    <tableColumn id="12" name="satisfied_count"/>
    <tableColumn id="13" name="csat_ratio"/>
    <tableColumn id="14" name="target_csat_ratio"/>
    <tableColumn id="15" name="avg_product_score"/>
    <tableColumn id="16" name="response_rate"/>
    <tableColumn id="17" name="sample_status"/>
    <tableColumn id="18" name="reporting_status"/>
    <tableColumn id="19" name="collected_at"/>
    <tableColumn id="20" name="data_as_of_at"/>
  </tableColumns>
  <tableStyleInfo name="TableStyleMedium2" showRowStripes="1"/>
</table>
</file>

<file path=xl/tables/table8.xml><?xml version="1.0" encoding="utf-8"?>
<table xmlns="http://schemas.openxmlformats.org/spreadsheetml/2006/main" id="8" name="T_Action_Plan" displayName="T_Action_Plan" ref="A1:W2" headerRowCount="1">
  <autoFilter ref="A1:W2"/>
  <tableColumns count="23">
    <tableColumn id="1" name="action_id"/>
    <tableColumn id="2" name="source_sheet"/>
    <tableColumn id="3" name="source_record_id"/>
    <tableColumn id="4" name="unit_code"/>
    <tableColumn id="5" name="indicator_code"/>
    <tableColumn id="6" name="period_start"/>
    <tableColumn id="7" name="period_end"/>
    <tableColumn id="8" name="baseline_value"/>
    <tableColumn id="9" name="target_value"/>
    <tableColumn id="10" name="measurement_unit"/>
    <tableColumn id="11" name="finding"/>
    <tableColumn id="12" name="cause_hypothesis"/>
    <tableColumn id="13" name="cause_status"/>
    <tableColumn id="14" name="evidence_ref"/>
    <tableColumn id="15" name="action_description"/>
    <tableColumn id="16" name="owner_team_code"/>
    <tableColumn id="17" name="due_date"/>
    <tableColumn id="18" name="action_status"/>
    <tableColumn id="19" name="followup_start"/>
    <tableColumn id="20" name="followup_end"/>
    <tableColumn id="21" name="followup_value"/>
    <tableColumn id="22" name="verification_status"/>
    <tableColumn id="23" name="collect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32" customHeight="1">
      <c r="A1" s="1" t="inlineStr">
        <is>
          <t>bagian</t>
        </is>
      </c>
      <c r="B1" s="1" t="inlineStr">
        <is>
          <t>petunjuk</t>
        </is>
      </c>
    </row>
    <row r="2">
      <c r="A2" s="2" t="inlineStr">
        <is>
          <t>Peringatan</t>
        </is>
      </c>
      <c r="B2" s="2" t="inlineStr">
        <is>
          <t>SELURUH DATA DAN TARGET FIKTIF. Bukan data production, rekomendasi final atau bukti kausal.</t>
        </is>
      </c>
    </row>
    <row r="3">
      <c r="A3" s="2" t="inlineStr">
        <is>
          <t>Topik</t>
        </is>
      </c>
      <c r="B3" s="2" t="inlineStr">
        <is>
          <t>Survei anonim 1-5, respons valid/tidak lengkap, penyebut CSAT dan rekap produk.</t>
        </is>
      </c>
    </row>
    <row r="4">
      <c r="A4" s="2" t="inlineStr">
        <is>
          <t>Batas interpretasi</t>
        </is>
      </c>
      <c r="B4" s="2" t="inlineStr">
        <is>
          <t>CSAT memakai skor 4/5 dibagi respons valid, bukan NPS. Sampel kecil opt-in tidak memberi klaim representatif atau confidence statistik otomatis.</t>
        </is>
      </c>
    </row>
    <row r="5">
      <c r="A5" s="2" t="inlineStr">
        <is>
          <t>Impor Google Sheets</t>
        </is>
      </c>
      <c r="B5" s="2" t="inlineStr">
        <is>
          <t>Upload Excel ke Drive lalu buka/konversi sebagai Google Sheets. Periksa formula, tanggal dan jumlah baris sebelum onboarding.</t>
        </is>
      </c>
    </row>
    <row r="6">
      <c r="A6" s="2" t="inlineStr">
        <is>
          <t>Waktu</t>
        </is>
      </c>
      <c r="B6" s="2" t="inlineStr">
        <is>
          <t>Tanggal disimpan sebagai teks ISO yyyy-mm-dd: pilih date, parse_date_id, format TEXT, pola %Y-%m-%d. Timestamp teks ISO ber-offset: timestamptz.</t>
        </is>
      </c>
    </row>
    <row r="7">
      <c r="A7" s="2" t="inlineStr">
        <is>
          <t>Master</t>
        </is>
      </c>
      <c r="B7" s="2" t="inlineStr">
        <is>
          <t>Master bersama identik pada beberapa file: muat sekali ke Registry master, lalu gunakan kembali binding. Jangan menggandakan registry master yang sama.</t>
        </is>
      </c>
    </row>
    <row r="8">
      <c r="A8" s="2" t="inlineStr">
        <is>
          <t>Rekap</t>
        </is>
      </c>
      <c r="B8" s="2" t="inlineStr">
        <is>
          <t>Rekap/rataan/rasio utama ditautkan ke raw lewat formula dan cache. Recalculate setelah edit/impor, periksa jumlah baris, penyebut dan master. CSV berisi hasil numerik, bukan formula.</t>
        </is>
      </c>
    </row>
    <row r="9">
      <c r="A9" s="2" t="inlineStr">
        <is>
          <t>Klasifikasi</t>
        </is>
      </c>
      <c r="B9" s="2" t="inlineStr">
        <is>
          <t>Master_* = MASTER. Tab data/rekap/Action_Plan = NON_MASTER. BACA_DULU, Kamus_Data, Rencana_ETL = petunjuk, Dikecualikan dari ETL.</t>
        </is>
      </c>
    </row>
    <row r="10">
      <c r="A10" s="2" t="inlineStr">
        <is>
          <t>Action plan</t>
        </is>
      </c>
      <c r="B10" s="2" t="inlineStr">
        <is>
          <t>Baseline diambil dari record sumber; cause_status UNVERIFIED, follow-up kosong/NOT_EVALUATED. Verifikasi bukti dan pilih target bisnis sebelum tindakan.</t>
        </is>
      </c>
    </row>
    <row r="11">
      <c r="A11" s="2" t="inlineStr">
        <is>
          <t>Load</t>
        </is>
      </c>
      <c r="B11" s="2" t="inlineStr">
        <is>
          <t>Contoh memakai key unik dan saran UPSERT. Review grain, reference binding, tipe, DQ, metrik, access dan rilis sebelum deploy. Jangan upload contoh ke sumber production yang aktif.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</cols>
  <sheetData>
    <row r="1" ht="32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business_key</t>
        </is>
      </c>
      <c r="F1" s="1" t="inlineStr">
        <is>
          <t>meaning</t>
        </is>
      </c>
      <c r="G1" s="1" t="inlineStr">
        <is>
          <t>example</t>
        </is>
      </c>
    </row>
    <row r="2">
      <c r="A2" s="2" t="inlineStr">
        <is>
          <t>Master_Unit</t>
        </is>
      </c>
      <c r="B2" s="2" t="inlineStr">
        <is>
          <t>unit_code</t>
        </is>
      </c>
      <c r="C2" s="2" t="inlineStr">
        <is>
          <t>text</t>
        </is>
      </c>
      <c r="D2" s="2" t="b">
        <v>0</v>
      </c>
      <c r="E2" s="2" t="b">
        <v>1</v>
      </c>
      <c r="F2" s="2" t="inlineStr">
        <is>
          <t>Identitas stabil sesuai grain.</t>
        </is>
      </c>
      <c r="G2" s="2" t="inlineStr">
        <is>
          <t>UNIT-CS</t>
        </is>
      </c>
    </row>
    <row r="3">
      <c r="A3" s="2" t="inlineStr">
        <is>
          <t>Master_Unit</t>
        </is>
      </c>
      <c r="B3" s="2" t="inlineStr">
        <is>
          <t>unit_label</t>
        </is>
      </c>
      <c r="C3" s="2" t="inlineStr">
        <is>
          <t>text</t>
        </is>
      </c>
      <c r="D3" s="2" t="b">
        <v>0</v>
      </c>
      <c r="E3" s="2" t="b">
        <v>0</v>
      </c>
      <c r="F3" s="2" t="inlineStr">
        <is>
          <t>Kode/label/atribut sesuai nama kolom dan grain; lihat Rencana_ETL serta definisi metrik. Jangan menjumlahkan rasio atau satuan berbeda.</t>
        </is>
      </c>
      <c r="G3" s="2" t="inlineStr">
        <is>
          <t>Layanan Pelanggan</t>
        </is>
      </c>
    </row>
    <row r="4">
      <c r="A4" s="2" t="inlineStr">
        <is>
          <t>Master_Unit</t>
        </is>
      </c>
      <c r="B4" s="2" t="inlineStr">
        <is>
          <t>is_active</t>
        </is>
      </c>
      <c r="C4" s="2" t="inlineStr">
        <is>
          <t>boolean</t>
        </is>
      </c>
      <c r="D4" s="2" t="b">
        <v>0</v>
      </c>
      <c r="E4" s="2" t="b">
        <v>0</v>
      </c>
      <c r="F4" s="2" t="inlineStr">
        <is>
          <t>Kode/label/atribut sesuai nama kolom dan grain; lihat Rencana_ETL serta definisi metrik. Jangan menjumlahkan rasio atau satuan berbeda.</t>
        </is>
      </c>
      <c r="G4" s="2" t="inlineStr">
        <is>
          <t>True</t>
        </is>
      </c>
    </row>
    <row r="5">
      <c r="A5" s="2" t="inlineStr">
        <is>
          <t>Master_Produk</t>
        </is>
      </c>
      <c r="B5" s="2" t="inlineStr">
        <is>
          <t>product_code</t>
        </is>
      </c>
      <c r="C5" s="2" t="inlineStr">
        <is>
          <t>text</t>
        </is>
      </c>
      <c r="D5" s="2" t="b">
        <v>0</v>
      </c>
      <c r="E5" s="2" t="b">
        <v>1</v>
      </c>
      <c r="F5" s="2" t="inlineStr">
        <is>
          <t>Identitas stabil sesuai grain.</t>
        </is>
      </c>
      <c r="G5" s="2" t="inlineStr">
        <is>
          <t>PROD-MILK</t>
        </is>
      </c>
    </row>
    <row r="6">
      <c r="A6" s="2" t="inlineStr">
        <is>
          <t>Master_Produk</t>
        </is>
      </c>
      <c r="B6" s="2" t="inlineStr">
        <is>
          <t>product_label</t>
        </is>
      </c>
      <c r="C6" s="2" t="inlineStr">
        <is>
          <t>text</t>
        </is>
      </c>
      <c r="D6" s="2" t="b">
        <v>0</v>
      </c>
      <c r="E6" s="2" t="b">
        <v>0</v>
      </c>
      <c r="F6" s="2" t="inlineStr">
        <is>
          <t>Kode/label/atribut sesuai nama kolom dan grain; lihat Rencana_ETL serta definisi metrik. Jangan menjumlahkan rasio atau satuan berbeda.</t>
        </is>
      </c>
      <c r="G6" s="2" t="inlineStr">
        <is>
          <t>Susu Contoh Plain</t>
        </is>
      </c>
    </row>
    <row r="7">
      <c r="A7" s="2" t="inlineStr">
        <is>
          <t>Master_Produk</t>
        </is>
      </c>
      <c r="B7" s="2" t="inlineStr">
        <is>
          <t>product_group</t>
        </is>
      </c>
      <c r="C7" s="2" t="inlineStr">
        <is>
          <t>text</t>
        </is>
      </c>
      <c r="D7" s="2" t="b">
        <v>0</v>
      </c>
      <c r="E7" s="2" t="b">
        <v>0</v>
      </c>
      <c r="F7" s="2" t="inlineStr">
        <is>
          <t>Kode/label/atribut sesuai nama kolom dan grain; lihat Rencana_ETL serta definisi metrik. Jangan menjumlahkan rasio atau satuan berbeda.</t>
        </is>
      </c>
      <c r="G7" s="2" t="inlineStr">
        <is>
          <t>DAIRY</t>
        </is>
      </c>
    </row>
    <row r="8">
      <c r="A8" s="2" t="inlineStr">
        <is>
          <t>Master_Produk</t>
        </is>
      </c>
      <c r="B8" s="2" t="inlineStr">
        <is>
          <t>is_active</t>
        </is>
      </c>
      <c r="C8" s="2" t="inlineStr">
        <is>
          <t>boolean</t>
        </is>
      </c>
      <c r="D8" s="2" t="b">
        <v>0</v>
      </c>
      <c r="E8" s="2" t="b">
        <v>0</v>
      </c>
      <c r="F8" s="2" t="inlineStr">
        <is>
          <t>Kode/label/atribut sesuai nama kolom dan grain; lihat Rencana_ETL serta definisi metrik. Jangan menjumlahkan rasio atau satuan berbeda.</t>
        </is>
      </c>
      <c r="G8" s="2" t="inlineStr">
        <is>
          <t>True</t>
        </is>
      </c>
    </row>
    <row r="9">
      <c r="A9" s="2" t="inlineStr">
        <is>
          <t>Master_Area</t>
        </is>
      </c>
      <c r="B9" s="2" t="inlineStr">
        <is>
          <t>area_code</t>
        </is>
      </c>
      <c r="C9" s="2" t="inlineStr">
        <is>
          <t>text</t>
        </is>
      </c>
      <c r="D9" s="2" t="b">
        <v>0</v>
      </c>
      <c r="E9" s="2" t="b">
        <v>1</v>
      </c>
      <c r="F9" s="2" t="inlineStr">
        <is>
          <t>Identitas stabil sesuai grain.</t>
        </is>
      </c>
      <c r="G9" s="2" t="inlineStr">
        <is>
          <t>AREA-A</t>
        </is>
      </c>
    </row>
    <row r="10">
      <c r="A10" s="2" t="inlineStr">
        <is>
          <t>Master_Area</t>
        </is>
      </c>
      <c r="B10" s="2" t="inlineStr">
        <is>
          <t>area_label</t>
        </is>
      </c>
      <c r="C10" s="2" t="inlineStr">
        <is>
          <t>text</t>
        </is>
      </c>
      <c r="D10" s="2" t="b">
        <v>0</v>
      </c>
      <c r="E10" s="2" t="b">
        <v>0</v>
      </c>
      <c r="F10" s="2" t="inlineStr">
        <is>
          <t>Kode/label/atribut sesuai nama kolom dan grain; lihat Rencana_ETL serta definisi metrik. Jangan menjumlahkan rasio atau satuan berbeda.</t>
        </is>
      </c>
      <c r="G10" s="2" t="inlineStr">
        <is>
          <t>Wilayah Contoh A</t>
        </is>
      </c>
    </row>
    <row r="11">
      <c r="A11" s="2" t="inlineStr">
        <is>
          <t>Master_Area</t>
        </is>
      </c>
      <c r="B11" s="2" t="inlineStr">
        <is>
          <t>is_active</t>
        </is>
      </c>
      <c r="C11" s="2" t="inlineStr">
        <is>
          <t>boolean</t>
        </is>
      </c>
      <c r="D11" s="2" t="b">
        <v>0</v>
      </c>
      <c r="E11" s="2" t="b">
        <v>0</v>
      </c>
      <c r="F11" s="2" t="inlineStr">
        <is>
          <t>Kode/label/atribut sesuai nama kolom dan grain; lihat Rencana_ETL serta definisi metrik. Jangan menjumlahkan rasio atau satuan berbeda.</t>
        </is>
      </c>
      <c r="G11" s="2" t="inlineStr">
        <is>
          <t>True</t>
        </is>
      </c>
    </row>
    <row r="12">
      <c r="A12" s="2" t="inlineStr">
        <is>
          <t>Master_Tim</t>
        </is>
      </c>
      <c r="B12" s="2" t="inlineStr">
        <is>
          <t>owner_team_code</t>
        </is>
      </c>
      <c r="C12" s="2" t="inlineStr">
        <is>
          <t>text</t>
        </is>
      </c>
      <c r="D12" s="2" t="b">
        <v>0</v>
      </c>
      <c r="E12" s="2" t="b">
        <v>1</v>
      </c>
      <c r="F12" s="2" t="inlineStr">
        <is>
          <t>Identitas stabil sesuai grain.</t>
        </is>
      </c>
      <c r="G12" s="2" t="inlineStr">
        <is>
          <t>TEAM-CS</t>
        </is>
      </c>
    </row>
    <row r="13">
      <c r="A13" s="2" t="inlineStr">
        <is>
          <t>Master_Tim</t>
        </is>
      </c>
      <c r="B13" s="2" t="inlineStr">
        <is>
          <t>team_label</t>
        </is>
      </c>
      <c r="C13" s="2" t="inlineStr">
        <is>
          <t>text</t>
        </is>
      </c>
      <c r="D13" s="2" t="b">
        <v>0</v>
      </c>
      <c r="E13" s="2" t="b">
        <v>0</v>
      </c>
      <c r="F13" s="2" t="inlineStr">
        <is>
          <t>Kode/label/atribut sesuai nama kolom dan grain; lihat Rencana_ETL serta definisi metrik. Jangan menjumlahkan rasio atau satuan berbeda.</t>
        </is>
      </c>
      <c r="G13" s="2" t="inlineStr">
        <is>
          <t>Tim Layanan</t>
        </is>
      </c>
    </row>
    <row r="14">
      <c r="A14" s="2" t="inlineStr">
        <is>
          <t>Master_Tim</t>
        </is>
      </c>
      <c r="B14" s="2" t="inlineStr">
        <is>
          <t>unit_code</t>
        </is>
      </c>
      <c r="C14" s="2" t="inlineStr">
        <is>
          <t>text</t>
        </is>
      </c>
      <c r="D14" s="2" t="b">
        <v>0</v>
      </c>
      <c r="E14" s="2" t="b">
        <v>0</v>
      </c>
      <c r="F14" s="2" t="inlineStr">
        <is>
          <t>Kode/label/atribut sesuai nama kolom dan grain; lihat Rencana_ETL serta definisi metrik. Jangan menjumlahkan rasio atau satuan berbeda.</t>
        </is>
      </c>
      <c r="G14" s="2" t="inlineStr">
        <is>
          <t>UNIT-CS</t>
        </is>
      </c>
    </row>
    <row r="15">
      <c r="A15" s="2" t="inlineStr">
        <is>
          <t>Master_Indikator</t>
        </is>
      </c>
      <c r="B15" s="2" t="inlineStr">
        <is>
          <t>indicator_code</t>
        </is>
      </c>
      <c r="C15" s="2" t="inlineStr">
        <is>
          <t>text</t>
        </is>
      </c>
      <c r="D15" s="2" t="b">
        <v>0</v>
      </c>
      <c r="E15" s="2" t="b">
        <v>1</v>
      </c>
      <c r="F15" s="2" t="inlineStr">
        <is>
          <t>Identitas stabil sesuai grain.</t>
        </is>
      </c>
      <c r="G15" s="2" t="inlineStr">
        <is>
          <t>REVENUE</t>
        </is>
      </c>
    </row>
    <row r="16">
      <c r="A16" s="2" t="inlineStr">
        <is>
          <t>Master_Indikator</t>
        </is>
      </c>
      <c r="B16" s="2" t="inlineStr">
        <is>
          <t>indicator_label</t>
        </is>
      </c>
      <c r="C16" s="2" t="inlineStr">
        <is>
          <t>text</t>
        </is>
      </c>
      <c r="D16" s="2" t="b">
        <v>0</v>
      </c>
      <c r="E16" s="2" t="b">
        <v>0</v>
      </c>
      <c r="F16" s="2" t="inlineStr">
        <is>
          <t>Kode/label/atribut sesuai nama kolom dan grain; lihat Rencana_ETL serta definisi metrik. Jangan menjumlahkan rasio atau satuan berbeda.</t>
        </is>
      </c>
      <c r="G16" s="2" t="inlineStr">
        <is>
          <t>Pendapatan tercatat</t>
        </is>
      </c>
    </row>
    <row r="17">
      <c r="A17" s="2" t="inlineStr">
        <is>
          <t>Master_Indikator</t>
        </is>
      </c>
      <c r="B17" s="2" t="inlineStr">
        <is>
          <t>measurement_unit</t>
        </is>
      </c>
      <c r="C17" s="2" t="inlineStr">
        <is>
          <t>text</t>
        </is>
      </c>
      <c r="D17" s="2" t="b">
        <v>0</v>
      </c>
      <c r="E17" s="2" t="b">
        <v>0</v>
      </c>
      <c r="F17" s="2" t="inlineStr">
        <is>
          <t>Kode/label/atribut sesuai nama kolom dan grain; lihat Rencana_ETL serta definisi metrik. Jangan menjumlahkan rasio atau satuan berbeda.</t>
        </is>
      </c>
      <c r="G17" s="2" t="inlineStr">
        <is>
          <t>IDR</t>
        </is>
      </c>
    </row>
    <row r="18">
      <c r="A18" s="2" t="inlineStr">
        <is>
          <t>Master_Indikator</t>
        </is>
      </c>
      <c r="B18" s="2" t="inlineStr">
        <is>
          <t>direction</t>
        </is>
      </c>
      <c r="C18" s="2" t="inlineStr">
        <is>
          <t>text</t>
        </is>
      </c>
      <c r="D18" s="2" t="b">
        <v>0</v>
      </c>
      <c r="E18" s="2" t="b">
        <v>0</v>
      </c>
      <c r="F18" s="2" t="inlineStr">
        <is>
          <t>HIGHER_IS_BETTER atau LOWER_IS_BETTER menentukan arah evaluasi.</t>
        </is>
      </c>
      <c r="G18" s="2" t="inlineStr">
        <is>
          <t>HIGHER_IS_BETTER</t>
        </is>
      </c>
    </row>
    <row r="19">
      <c r="A19" s="2" t="inlineStr">
        <is>
          <t>Master_Indikator</t>
        </is>
      </c>
      <c r="B19" s="2" t="inlineStr">
        <is>
          <t>aggregation</t>
        </is>
      </c>
      <c r="C19" s="2" t="inlineStr">
        <is>
          <t>text</t>
        </is>
      </c>
      <c r="D19" s="2" t="b">
        <v>0</v>
      </c>
      <c r="E19" s="2" t="b">
        <v>0</v>
      </c>
      <c r="F19" s="2" t="inlineStr">
        <is>
          <t>Kode/label/atribut sesuai nama kolom dan grain; lihat Rencana_ETL serta definisi metrik. Jangan menjumlahkan rasio atau satuan berbeda.</t>
        </is>
      </c>
      <c r="G19" s="2" t="inlineStr">
        <is>
          <t>SUM</t>
        </is>
      </c>
    </row>
    <row r="20">
      <c r="A20" s="2" t="inlineStr">
        <is>
          <t>Master_Indikator</t>
        </is>
      </c>
      <c r="B20" s="2" t="inlineStr">
        <is>
          <t>definition</t>
        </is>
      </c>
      <c r="C20" s="2" t="inlineStr">
        <is>
          <t>text</t>
        </is>
      </c>
      <c r="D20" s="2" t="b">
        <v>0</v>
      </c>
      <c r="E20" s="2" t="b">
        <v>0</v>
      </c>
      <c r="F20" s="2" t="inlineStr">
        <is>
          <t>Kode/label/atribut sesuai nama kolom dan grain; lihat Rencana_ETL serta definisi metrik. Jangan menjumlahkan rasio atau satuan berbeda.</t>
        </is>
      </c>
      <c r="G20" s="2" t="inlineStr">
        <is>
          <t>Jumlah pendapatan tercatat pada periode.</t>
        </is>
      </c>
    </row>
    <row r="21">
      <c r="A21" s="2" t="inlineStr">
        <is>
          <t>Survey_Data</t>
        </is>
      </c>
      <c r="B21" s="2" t="inlineStr">
        <is>
          <t>response_id</t>
        </is>
      </c>
      <c r="C21" s="2" t="inlineStr">
        <is>
          <t>text</t>
        </is>
      </c>
      <c r="D21" s="2" t="b">
        <v>0</v>
      </c>
      <c r="E21" s="2" t="b">
        <v>1</v>
      </c>
      <c r="F21" s="2" t="inlineStr">
        <is>
          <t>Identitas stabil sesuai grain.</t>
        </is>
      </c>
      <c r="G21" s="2" t="inlineStr">
        <is>
          <t>SUR-1-PROD-MILK-00</t>
        </is>
      </c>
    </row>
    <row r="22">
      <c r="A22" s="2" t="inlineStr">
        <is>
          <t>Survey_Data</t>
        </is>
      </c>
      <c r="B22" s="2" t="inlineStr">
        <is>
          <t>respondent_code</t>
        </is>
      </c>
      <c r="C22" s="2" t="inlineStr">
        <is>
          <t>text</t>
        </is>
      </c>
      <c r="D22" s="2" t="b">
        <v>0</v>
      </c>
      <c r="E22" s="2" t="b">
        <v>0</v>
      </c>
      <c r="F22" s="2" t="inlineStr">
        <is>
          <t>Kode/label/atribut sesuai nama kolom dan grain; lihat Rencana_ETL serta definisi metrik. Jangan menjumlahkan rasio atau satuan berbeda.</t>
        </is>
      </c>
      <c r="G22" s="2" t="inlineStr">
        <is>
          <t>ANON-1-PROD-MILK-00</t>
        </is>
      </c>
    </row>
    <row r="23">
      <c r="A23" s="2" t="inlineStr">
        <is>
          <t>Survey_Data</t>
        </is>
      </c>
      <c r="B23" s="2" t="inlineStr">
        <is>
          <t>unit_code</t>
        </is>
      </c>
      <c r="C23" s="2" t="inlineStr">
        <is>
          <t>text</t>
        </is>
      </c>
      <c r="D23" s="2" t="b">
        <v>0</v>
      </c>
      <c r="E23" s="2" t="b">
        <v>0</v>
      </c>
      <c r="F23" s="2" t="inlineStr">
        <is>
          <t>Kode/label/atribut sesuai nama kolom dan grain; lihat Rencana_ETL serta definisi metrik. Jangan menjumlahkan rasio atau satuan berbeda.</t>
        </is>
      </c>
      <c r="G23" s="2" t="inlineStr">
        <is>
          <t>UNIT-CS</t>
        </is>
      </c>
    </row>
    <row r="24">
      <c r="A24" s="2" t="inlineStr">
        <is>
          <t>Survey_Data</t>
        </is>
      </c>
      <c r="B24" s="2" t="inlineStr">
        <is>
          <t>product_code</t>
        </is>
      </c>
      <c r="C24" s="2" t="inlineStr">
        <is>
          <t>text</t>
        </is>
      </c>
      <c r="D24" s="2" t="b">
        <v>0</v>
      </c>
      <c r="E24" s="2" t="b">
        <v>0</v>
      </c>
      <c r="F24" s="2" t="inlineStr">
        <is>
          <t>Kode/label/atribut sesuai nama kolom dan grain; lihat Rencana_ETL serta definisi metrik. Jangan menjumlahkan rasio atau satuan berbeda.</t>
        </is>
      </c>
      <c r="G24" s="2" t="inlineStr">
        <is>
          <t>PROD-MILK</t>
        </is>
      </c>
    </row>
    <row r="25">
      <c r="A25" s="2" t="inlineStr">
        <is>
          <t>Survey_Data</t>
        </is>
      </c>
      <c r="B25" s="2" t="inlineStr">
        <is>
          <t>area_code</t>
        </is>
      </c>
      <c r="C25" s="2" t="inlineStr">
        <is>
          <t>text</t>
        </is>
      </c>
      <c r="D25" s="2" t="b">
        <v>0</v>
      </c>
      <c r="E25" s="2" t="b">
        <v>0</v>
      </c>
      <c r="F25" s="2" t="inlineStr">
        <is>
          <t>Kode/label/atribut sesuai nama kolom dan grain; lihat Rencana_ETL serta definisi metrik. Jangan menjumlahkan rasio atau satuan berbeda.</t>
        </is>
      </c>
      <c r="G25" s="2" t="inlineStr">
        <is>
          <t>AREA-A</t>
        </is>
      </c>
    </row>
    <row r="26">
      <c r="A26" s="2" t="inlineStr">
        <is>
          <t>Survey_Data</t>
        </is>
      </c>
      <c r="B26" s="2" t="inlineStr">
        <is>
          <t>survey_version</t>
        </is>
      </c>
      <c r="C26" s="2" t="inlineStr">
        <is>
          <t>text</t>
        </is>
      </c>
      <c r="D26" s="2" t="b">
        <v>0</v>
      </c>
      <c r="E26" s="2" t="b">
        <v>0</v>
      </c>
      <c r="F26" s="2" t="inlineStr">
        <is>
          <t>Kode/label/atribut sesuai nama kolom dan grain; lihat Rencana_ETL serta definisi metrik. Jangan menjumlahkan rasio atau satuan berbeda.</t>
        </is>
      </c>
      <c r="G26" s="2" t="inlineStr">
        <is>
          <t>CSAT-5-V1</t>
        </is>
      </c>
    </row>
    <row r="27">
      <c r="A27" s="2" t="inlineStr">
        <is>
          <t>Survey_Data</t>
        </is>
      </c>
      <c r="B27" s="2" t="inlineStr">
        <is>
          <t>surveyed_at</t>
        </is>
      </c>
      <c r="C27" s="2" t="inlineStr">
        <is>
          <t>timestamptz</t>
        </is>
      </c>
      <c r="D27" s="2" t="b">
        <v>0</v>
      </c>
      <c r="E27" s="2" t="b">
        <v>0</v>
      </c>
      <c r="F27" s="2" t="inlineStr">
        <is>
          <t>Kode/label/atribut sesuai nama kolom dan grain; lihat Rencana_ETL serta definisi metrik. Jangan menjumlahkan rasio atau satuan berbeda.</t>
        </is>
      </c>
      <c r="G27" s="2" t="inlineStr">
        <is>
          <t>2026-01-10T09:00:00+07:00</t>
        </is>
      </c>
    </row>
    <row r="28">
      <c r="A28" s="2" t="inlineStr">
        <is>
          <t>Survey_Data</t>
        </is>
      </c>
      <c r="B28" s="2" t="inlineStr">
        <is>
          <t>product_score</t>
        </is>
      </c>
      <c r="C28" s="2" t="inlineStr">
        <is>
          <t>bigint</t>
        </is>
      </c>
      <c r="D28" s="2" t="b">
        <v>1</v>
      </c>
      <c r="E28" s="2" t="b">
        <v>0</v>
      </c>
      <c r="F28" s="2" t="inlineStr">
        <is>
          <t>Kode/label/atribut sesuai nama kolom dan grain; lihat Rencana_ETL serta definisi metrik. Jangan menjumlahkan rasio atau satuan berbeda.</t>
        </is>
      </c>
      <c r="G28" s="2" t="inlineStr">
        <is>
          <t>2</t>
        </is>
      </c>
    </row>
    <row r="29">
      <c r="A29" s="2" t="inlineStr">
        <is>
          <t>Survey_Data</t>
        </is>
      </c>
      <c r="B29" s="2" t="inlineStr">
        <is>
          <t>service_score</t>
        </is>
      </c>
      <c r="C29" s="2" t="inlineStr">
        <is>
          <t>bigint</t>
        </is>
      </c>
      <c r="D29" s="2" t="b">
        <v>1</v>
      </c>
      <c r="E29" s="2" t="b">
        <v>0</v>
      </c>
      <c r="F29" s="2" t="inlineStr">
        <is>
          <t>Kode/label/atribut sesuai nama kolom dan grain; lihat Rencana_ETL serta definisi metrik. Jangan menjumlahkan rasio atau satuan berbeda.</t>
        </is>
      </c>
      <c r="G29" s="2" t="inlineStr">
        <is>
          <t>4</t>
        </is>
      </c>
    </row>
    <row r="30">
      <c r="A30" s="2" t="inlineStr">
        <is>
          <t>Survey_Data</t>
        </is>
      </c>
      <c r="B30" s="2" t="inlineStr">
        <is>
          <t>value_score</t>
        </is>
      </c>
      <c r="C30" s="2" t="inlineStr">
        <is>
          <t>bigint</t>
        </is>
      </c>
      <c r="D30" s="2" t="b">
        <v>1</v>
      </c>
      <c r="E30" s="2" t="b">
        <v>0</v>
      </c>
      <c r="F30" s="2" t="inlineStr">
        <is>
          <t>Kode/label/atribut sesuai nama kolom dan grain; lihat Rencana_ETL serta definisi metrik. Jangan menjumlahkan rasio atau satuan berbeda.</t>
        </is>
      </c>
      <c r="G30" s="2" t="inlineStr">
        <is>
          <t>3</t>
        </is>
      </c>
    </row>
    <row r="31">
      <c r="A31" s="2" t="inlineStr">
        <is>
          <t>Survey_Data</t>
        </is>
      </c>
      <c r="B31" s="2" t="inlineStr">
        <is>
          <t>is_valid_response</t>
        </is>
      </c>
      <c r="C31" s="2" t="inlineStr">
        <is>
          <t>boolean</t>
        </is>
      </c>
      <c r="D31" s="2" t="b">
        <v>0</v>
      </c>
      <c r="E31" s="2" t="b">
        <v>0</v>
      </c>
      <c r="F31" s="2" t="inlineStr">
        <is>
          <t>TRUE bila respons memenuhi syarat metode; respons tidak lengkap dikecualikan dari CSAT.</t>
        </is>
      </c>
      <c r="G31" s="2" t="inlineStr">
        <is>
          <t>True</t>
        </is>
      </c>
    </row>
    <row r="32">
      <c r="A32" s="2" t="inlineStr">
        <is>
          <t>Survey_Data</t>
        </is>
      </c>
      <c r="B32" s="2" t="inlineStr">
        <is>
          <t>excluded_reason</t>
        </is>
      </c>
      <c r="C32" s="2" t="inlineStr">
        <is>
          <t>text</t>
        </is>
      </c>
      <c r="D32" s="2" t="b">
        <v>1</v>
      </c>
      <c r="E32" s="2" t="b">
        <v>0</v>
      </c>
      <c r="F32" s="2" t="inlineStr">
        <is>
          <t>Kode/label/atribut sesuai nama kolom dan grain; lihat Rencana_ETL serta definisi metrik. Jangan menjumlahkan rasio atau satuan berbeda.</t>
        </is>
      </c>
      <c r="G32" s="2" t="inlineStr">
        <is>
          <t>INCOMPLETE</t>
        </is>
      </c>
    </row>
    <row r="33">
      <c r="A33" s="2" t="inlineStr">
        <is>
          <t>Survey_Data</t>
        </is>
      </c>
      <c r="B33" s="2" t="inlineStr">
        <is>
          <t>valid_response_count</t>
        </is>
      </c>
      <c r="C33" s="2" t="inlineStr">
        <is>
          <t>bigint</t>
        </is>
      </c>
      <c r="D33" s="2" t="b">
        <v>0</v>
      </c>
      <c r="E33" s="2" t="b">
        <v>0</v>
      </c>
      <c r="F33" s="2" t="inlineStr">
        <is>
          <t>Kode/label/atribut sesuai nama kolom dan grain; lihat Rencana_ETL serta definisi metrik. Jangan menjumlahkan rasio atau satuan berbeda.</t>
        </is>
      </c>
      <c r="G33" s="2" t="inlineStr">
        <is>
          <t>1</t>
        </is>
      </c>
    </row>
    <row r="34">
      <c r="A34" s="2" t="inlineStr">
        <is>
          <t>Survey_Data</t>
        </is>
      </c>
      <c r="B34" s="2" t="inlineStr">
        <is>
          <t>satisfied_count</t>
        </is>
      </c>
      <c r="C34" s="2" t="inlineStr">
        <is>
          <t>bigint</t>
        </is>
      </c>
      <c r="D34" s="2" t="b">
        <v>0</v>
      </c>
      <c r="E34" s="2" t="b">
        <v>0</v>
      </c>
      <c r="F34" s="2" t="inlineStr">
        <is>
          <t>Kode/label/atribut sesuai nama kolom dan grain; lihat Rencana_ETL serta definisi metrik. Jangan menjumlahkan rasio atau satuan berbeda.</t>
        </is>
      </c>
      <c r="G34" s="2" t="inlineStr">
        <is>
          <t>0</t>
        </is>
      </c>
    </row>
    <row r="35">
      <c r="A35" s="2" t="inlineStr">
        <is>
          <t>Survey_Data</t>
        </is>
      </c>
      <c r="B35" s="2" t="inlineStr">
        <is>
          <t>sampling_method</t>
        </is>
      </c>
      <c r="C35" s="2" t="inlineStr">
        <is>
          <t>text</t>
        </is>
      </c>
      <c r="D35" s="2" t="b">
        <v>0</v>
      </c>
      <c r="E35" s="2" t="b">
        <v>0</v>
      </c>
      <c r="F35" s="2" t="inlineStr">
        <is>
          <t>Kode/label/atribut sesuai nama kolom dan grain; lihat Rencana_ETL serta definisi metrik. Jangan menjumlahkan rasio atau satuan berbeda.</t>
        </is>
      </c>
      <c r="G35" s="2" t="inlineStr">
        <is>
          <t>OPT_IN_SIMULATED</t>
        </is>
      </c>
    </row>
    <row r="36">
      <c r="A36" s="2" t="inlineStr">
        <is>
          <t>Survey_Data</t>
        </is>
      </c>
      <c r="B36" s="2" t="inlineStr">
        <is>
          <t>period_start</t>
        </is>
      </c>
      <c r="C36" s="2" t="inlineStr">
        <is>
          <t>date</t>
        </is>
      </c>
      <c r="D36" s="2" t="b">
        <v>0</v>
      </c>
      <c r="E36" s="2" t="b">
        <v>0</v>
      </c>
      <c r="F36" s="2" t="inlineStr">
        <is>
          <t>Tanggal pertama periode bisnis yang dicakup; teks ISO yyyy-mm-dd.</t>
        </is>
      </c>
      <c r="G36" s="2" t="inlineStr">
        <is>
          <t>2026-01-01</t>
        </is>
      </c>
    </row>
    <row r="37">
      <c r="A37" s="2" t="inlineStr">
        <is>
          <t>Survey_Data</t>
        </is>
      </c>
      <c r="B37" s="2" t="inlineStr">
        <is>
          <t>period_end</t>
        </is>
      </c>
      <c r="C37" s="2" t="inlineStr">
        <is>
          <t>date</t>
        </is>
      </c>
      <c r="D37" s="2" t="b">
        <v>0</v>
      </c>
      <c r="E37" s="2" t="b">
        <v>0</v>
      </c>
      <c r="F37" s="2" t="inlineStr">
        <is>
          <t>Tanggal terakhir periode bisnis yang dicakup, inklusif; bukan tanggal pengambilan.</t>
        </is>
      </c>
      <c r="G37" s="2" t="inlineStr">
        <is>
          <t>2026-01-31</t>
        </is>
      </c>
    </row>
    <row r="38">
      <c r="A38" s="2" t="inlineStr">
        <is>
          <t>Survey_Data</t>
        </is>
      </c>
      <c r="B38" s="2" t="inlineStr">
        <is>
          <t>collected_at</t>
        </is>
      </c>
      <c r="C38" s="2" t="inlineStr">
        <is>
          <t>timestamptz</t>
        </is>
      </c>
      <c r="D38" s="2" t="b">
        <v>0</v>
      </c>
      <c r="E38" s="2" t="b">
        <v>0</v>
      </c>
      <c r="F38" s="2" t="inlineStr">
        <is>
          <t>Waktu pengambilan, bukan periode bisnis.</t>
        </is>
      </c>
      <c r="G38" s="2" t="inlineStr">
        <is>
          <t>2026-03-03T09:00:00+07:00</t>
        </is>
      </c>
    </row>
    <row r="39">
      <c r="A39" s="2" t="inlineStr">
        <is>
          <t>Survey_Data</t>
        </is>
      </c>
      <c r="B39" s="2" t="inlineStr">
        <is>
          <t>data_as_of_at</t>
        </is>
      </c>
      <c r="C39" s="2" t="inlineStr">
        <is>
          <t>timestamptz</t>
        </is>
      </c>
      <c r="D39" s="2" t="b">
        <v>0</v>
      </c>
      <c r="E39" s="2" t="b">
        <v>0</v>
      </c>
      <c r="F39" s="2" t="inlineStr">
        <is>
          <t>Batas kondisi data yang berlaku; timestamp teks ISO dengan offset.</t>
        </is>
      </c>
      <c r="G39" s="2" t="inlineStr">
        <is>
          <t>2026-03-03T09:00:00+07:00</t>
        </is>
      </c>
    </row>
    <row r="40">
      <c r="A40" s="2" t="inlineStr">
        <is>
          <t>CSAT_Rekap</t>
        </is>
      </c>
      <c r="B40" s="2" t="inlineStr">
        <is>
          <t>csat_summary_id</t>
        </is>
      </c>
      <c r="C40" s="2" t="inlineStr">
        <is>
          <t>text</t>
        </is>
      </c>
      <c r="D40" s="2" t="b">
        <v>0</v>
      </c>
      <c r="E40" s="2" t="b">
        <v>1</v>
      </c>
      <c r="F40" s="2" t="inlineStr">
        <is>
          <t>Identitas stabil sesuai grain.</t>
        </is>
      </c>
      <c r="G40" s="2" t="inlineStr">
        <is>
          <t>CSAT-1-PROD-MILK</t>
        </is>
      </c>
    </row>
    <row r="41">
      <c r="A41" s="2" t="inlineStr">
        <is>
          <t>CSAT_Rekap</t>
        </is>
      </c>
      <c r="B41" s="2" t="inlineStr">
        <is>
          <t>unit_code</t>
        </is>
      </c>
      <c r="C41" s="2" t="inlineStr">
        <is>
          <t>text</t>
        </is>
      </c>
      <c r="D41" s="2" t="b">
        <v>0</v>
      </c>
      <c r="E41" s="2" t="b">
        <v>0</v>
      </c>
      <c r="F41" s="2" t="inlineStr">
        <is>
          <t>Kode/label/atribut sesuai nama kolom dan grain; lihat Rencana_ETL serta definisi metrik. Jangan menjumlahkan rasio atau satuan berbeda.</t>
        </is>
      </c>
      <c r="G41" s="2" t="inlineStr">
        <is>
          <t>UNIT-CS</t>
        </is>
      </c>
    </row>
    <row r="42">
      <c r="A42" s="2" t="inlineStr">
        <is>
          <t>CSAT_Rekap</t>
        </is>
      </c>
      <c r="B42" s="2" t="inlineStr">
        <is>
          <t>product_code</t>
        </is>
      </c>
      <c r="C42" s="2" t="inlineStr">
        <is>
          <t>text</t>
        </is>
      </c>
      <c r="D42" s="2" t="b">
        <v>0</v>
      </c>
      <c r="E42" s="2" t="b">
        <v>0</v>
      </c>
      <c r="F42" s="2" t="inlineStr">
        <is>
          <t>Kode/label/atribut sesuai nama kolom dan grain; lihat Rencana_ETL serta definisi metrik. Jangan menjumlahkan rasio atau satuan berbeda.</t>
        </is>
      </c>
      <c r="G42" s="2" t="inlineStr">
        <is>
          <t>PROD-MILK</t>
        </is>
      </c>
    </row>
    <row r="43">
      <c r="A43" s="2" t="inlineStr">
        <is>
          <t>CSAT_Rekap</t>
        </is>
      </c>
      <c r="B43" s="2" t="inlineStr">
        <is>
          <t>area_code</t>
        </is>
      </c>
      <c r="C43" s="2" t="inlineStr">
        <is>
          <t>text</t>
        </is>
      </c>
      <c r="D43" s="2" t="b">
        <v>0</v>
      </c>
      <c r="E43" s="2" t="b">
        <v>0</v>
      </c>
      <c r="F43" s="2" t="inlineStr">
        <is>
          <t>Kode/label/atribut sesuai nama kolom dan grain; lihat Rencana_ETL serta definisi metrik. Jangan menjumlahkan rasio atau satuan berbeda.</t>
        </is>
      </c>
      <c r="G43" s="2" t="inlineStr">
        <is>
          <t>AREA-A</t>
        </is>
      </c>
    </row>
    <row r="44">
      <c r="A44" s="2" t="inlineStr">
        <is>
          <t>CSAT_Rekap</t>
        </is>
      </c>
      <c r="B44" s="2" t="inlineStr">
        <is>
          <t>period_start</t>
        </is>
      </c>
      <c r="C44" s="2" t="inlineStr">
        <is>
          <t>date</t>
        </is>
      </c>
      <c r="D44" s="2" t="b">
        <v>0</v>
      </c>
      <c r="E44" s="2" t="b">
        <v>0</v>
      </c>
      <c r="F44" s="2" t="inlineStr">
        <is>
          <t>Tanggal pertama periode bisnis yang dicakup; teks ISO yyyy-mm-dd.</t>
        </is>
      </c>
      <c r="G44" s="2" t="inlineStr">
        <is>
          <t>2026-01-01</t>
        </is>
      </c>
    </row>
    <row r="45">
      <c r="A45" s="2" t="inlineStr">
        <is>
          <t>CSAT_Rekap</t>
        </is>
      </c>
      <c r="B45" s="2" t="inlineStr">
        <is>
          <t>period_end</t>
        </is>
      </c>
      <c r="C45" s="2" t="inlineStr">
        <is>
          <t>date</t>
        </is>
      </c>
      <c r="D45" s="2" t="b">
        <v>0</v>
      </c>
      <c r="E45" s="2" t="b">
        <v>0</v>
      </c>
      <c r="F45" s="2" t="inlineStr">
        <is>
          <t>Tanggal terakhir periode bisnis yang dicakup, inklusif; bukan tanggal pengambilan.</t>
        </is>
      </c>
      <c r="G45" s="2" t="inlineStr">
        <is>
          <t>2026-01-31</t>
        </is>
      </c>
    </row>
    <row r="46">
      <c r="A46" s="2" t="inlineStr">
        <is>
          <t>CSAT_Rekap</t>
        </is>
      </c>
      <c r="B46" s="2" t="inlineStr">
        <is>
          <t>survey_version</t>
        </is>
      </c>
      <c r="C46" s="2" t="inlineStr">
        <is>
          <t>text</t>
        </is>
      </c>
      <c r="D46" s="2" t="b">
        <v>0</v>
      </c>
      <c r="E46" s="2" t="b">
        <v>0</v>
      </c>
      <c r="F46" s="2" t="inlineStr">
        <is>
          <t>Kode/label/atribut sesuai nama kolom dan grain; lihat Rencana_ETL serta definisi metrik. Jangan menjumlahkan rasio atau satuan berbeda.</t>
        </is>
      </c>
      <c r="G46" s="2" t="inlineStr">
        <is>
          <t>CSAT-5-V1</t>
        </is>
      </c>
    </row>
    <row r="47">
      <c r="A47" s="2" t="inlineStr">
        <is>
          <t>CSAT_Rekap</t>
        </is>
      </c>
      <c r="B47" s="2" t="inlineStr">
        <is>
          <t>invited_count</t>
        </is>
      </c>
      <c r="C47" s="2" t="inlineStr">
        <is>
          <t>bigint</t>
        </is>
      </c>
      <c r="D47" s="2" t="b">
        <v>0</v>
      </c>
      <c r="E47" s="2" t="b">
        <v>0</v>
      </c>
      <c r="F47" s="2" t="inlineStr">
        <is>
          <t>Jumlah undangan survei dari log undangan yang sah; perbarui bila cakupan berubah.</t>
        </is>
      </c>
      <c r="G47" s="2" t="inlineStr">
        <is>
          <t>100</t>
        </is>
      </c>
    </row>
    <row r="48">
      <c r="A48" s="2" t="inlineStr">
        <is>
          <t>CSAT_Rekap</t>
        </is>
      </c>
      <c r="B48" s="2" t="inlineStr">
        <is>
          <t>received_count</t>
        </is>
      </c>
      <c r="C48" s="2" t="inlineStr">
        <is>
          <t>bigint</t>
        </is>
      </c>
      <c r="D48" s="2" t="b">
        <v>0</v>
      </c>
      <c r="E48" s="2" t="b">
        <v>0</v>
      </c>
      <c r="F48" s="2" t="inlineStr">
        <is>
          <t>Kode/label/atribut sesuai nama kolom dan grain; lihat Rencana_ETL serta definisi metrik. Jangan menjumlahkan rasio atau satuan berbeda.</t>
        </is>
      </c>
      <c r="G48" s="2" t="inlineStr">
        <is>
          <t>12</t>
        </is>
      </c>
    </row>
    <row r="49">
      <c r="A49" s="2" t="inlineStr">
        <is>
          <t>CSAT_Rekap</t>
        </is>
      </c>
      <c r="B49" s="2" t="inlineStr">
        <is>
          <t>valid_response_count</t>
        </is>
      </c>
      <c r="C49" s="2" t="inlineStr">
        <is>
          <t>bigint</t>
        </is>
      </c>
      <c r="D49" s="2" t="b">
        <v>0</v>
      </c>
      <c r="E49" s="2" t="b">
        <v>0</v>
      </c>
      <c r="F49" s="2" t="inlineStr">
        <is>
          <t>Kode/label/atribut sesuai nama kolom dan grain; lihat Rencana_ETL serta definisi metrik. Jangan menjumlahkan rasio atau satuan berbeda.</t>
        </is>
      </c>
      <c r="G49" s="2" t="inlineStr">
        <is>
          <t>11</t>
        </is>
      </c>
    </row>
    <row r="50">
      <c r="A50" s="2" t="inlineStr">
        <is>
          <t>CSAT_Rekap</t>
        </is>
      </c>
      <c r="B50" s="2" t="inlineStr">
        <is>
          <t>excluded_count</t>
        </is>
      </c>
      <c r="C50" s="2" t="inlineStr">
        <is>
          <t>bigint</t>
        </is>
      </c>
      <c r="D50" s="2" t="b">
        <v>0</v>
      </c>
      <c r="E50" s="2" t="b">
        <v>0</v>
      </c>
      <c r="F50" s="2" t="inlineStr">
        <is>
          <t>Kode/label/atribut sesuai nama kolom dan grain; lihat Rencana_ETL serta definisi metrik. Jangan menjumlahkan rasio atau satuan berbeda.</t>
        </is>
      </c>
      <c r="G50" s="2" t="inlineStr">
        <is>
          <t>1</t>
        </is>
      </c>
    </row>
    <row r="51">
      <c r="A51" s="2" t="inlineStr">
        <is>
          <t>CSAT_Rekap</t>
        </is>
      </c>
      <c r="B51" s="2" t="inlineStr">
        <is>
          <t>satisfied_count</t>
        </is>
      </c>
      <c r="C51" s="2" t="inlineStr">
        <is>
          <t>bigint</t>
        </is>
      </c>
      <c r="D51" s="2" t="b">
        <v>0</v>
      </c>
      <c r="E51" s="2" t="b">
        <v>0</v>
      </c>
      <c r="F51" s="2" t="inlineStr">
        <is>
          <t>Kode/label/atribut sesuai nama kolom dan grain; lihat Rencana_ETL serta definisi metrik. Jangan menjumlahkan rasio atau satuan berbeda.</t>
        </is>
      </c>
      <c r="G51" s="2" t="inlineStr">
        <is>
          <t>5</t>
        </is>
      </c>
    </row>
    <row r="52">
      <c r="A52" s="2" t="inlineStr">
        <is>
          <t>CSAT_Rekap</t>
        </is>
      </c>
      <c r="B52" s="2" t="inlineStr">
        <is>
          <t>csat_ratio</t>
        </is>
      </c>
      <c r="C52" s="2" t="inlineStr">
        <is>
          <t>numeric</t>
        </is>
      </c>
      <c r="D52" s="2" t="b">
        <v>0</v>
      </c>
      <c r="E52" s="2" t="b">
        <v>0</v>
      </c>
      <c r="F52" s="2" t="inlineStr">
        <is>
          <t>Respons dengan skor produk 4 atau 5 / respons valid; skala 0 sampai 1.</t>
        </is>
      </c>
      <c r="G52" s="2" t="inlineStr">
        <is>
          <t>0.454545</t>
        </is>
      </c>
    </row>
    <row r="53">
      <c r="A53" s="2" t="inlineStr">
        <is>
          <t>CSAT_Rekap</t>
        </is>
      </c>
      <c r="B53" s="2" t="inlineStr">
        <is>
          <t>target_csat_ratio</t>
        </is>
      </c>
      <c r="C53" s="2" t="inlineStr">
        <is>
          <t>numeric</t>
        </is>
      </c>
      <c r="D53" s="2" t="b">
        <v>0</v>
      </c>
      <c r="E53" s="2" t="b">
        <v>0</v>
      </c>
      <c r="F53" s="2" t="inlineStr">
        <is>
          <t>Kode/label/atribut sesuai nama kolom dan grain; lihat Rencana_ETL serta definisi metrik. Jangan menjumlahkan rasio atau satuan berbeda.</t>
        </is>
      </c>
      <c r="G53" s="2" t="inlineStr">
        <is>
          <t>0.8</t>
        </is>
      </c>
    </row>
    <row r="54">
      <c r="A54" s="2" t="inlineStr">
        <is>
          <t>CSAT_Rekap</t>
        </is>
      </c>
      <c r="B54" s="2" t="inlineStr">
        <is>
          <t>avg_product_score</t>
        </is>
      </c>
      <c r="C54" s="2" t="inlineStr">
        <is>
          <t>numeric</t>
        </is>
      </c>
      <c r="D54" s="2" t="b">
        <v>0</v>
      </c>
      <c r="E54" s="2" t="b">
        <v>0</v>
      </c>
      <c r="F54" s="2" t="inlineStr">
        <is>
          <t>Kode/label/atribut sesuai nama kolom dan grain; lihat Rencana_ETL serta definisi metrik. Jangan menjumlahkan rasio atau satuan berbeda.</t>
        </is>
      </c>
      <c r="G54" s="2" t="inlineStr">
        <is>
          <t>3.363636</t>
        </is>
      </c>
    </row>
    <row r="55">
      <c r="A55" s="2" t="inlineStr">
        <is>
          <t>CSAT_Rekap</t>
        </is>
      </c>
      <c r="B55" s="2" t="inlineStr">
        <is>
          <t>response_rate</t>
        </is>
      </c>
      <c r="C55" s="2" t="inlineStr">
        <is>
          <t>numeric</t>
        </is>
      </c>
      <c r="D55" s="2" t="b">
        <v>0</v>
      </c>
      <c r="E55" s="2" t="b">
        <v>0</v>
      </c>
      <c r="F55" s="2" t="inlineStr">
        <is>
          <t>received_count / invited_count; bukan tingkat kepuasan.</t>
        </is>
      </c>
      <c r="G55" s="2" t="inlineStr">
        <is>
          <t>0.12</t>
        </is>
      </c>
    </row>
    <row r="56">
      <c r="A56" s="2" t="inlineStr">
        <is>
          <t>CSAT_Rekap</t>
        </is>
      </c>
      <c r="B56" s="2" t="inlineStr">
        <is>
          <t>sample_status</t>
        </is>
      </c>
      <c r="C56" s="2" t="inlineStr">
        <is>
          <t>text</t>
        </is>
      </c>
      <c r="D56" s="2" t="b">
        <v>0</v>
      </c>
      <c r="E56" s="2" t="b">
        <v>0</v>
      </c>
      <c r="F56" s="2" t="inlineStr">
        <is>
          <t>Kode/label/atribut sesuai nama kolom dan grain; lihat Rencana_ETL serta definisi metrik. Jangan menjumlahkan rasio atau satuan berbeda.</t>
        </is>
      </c>
      <c r="G56" s="2" t="inlineStr">
        <is>
          <t>SMALL_OPT_IN_SAMPLE</t>
        </is>
      </c>
    </row>
    <row r="57">
      <c r="A57" s="2" t="inlineStr">
        <is>
          <t>CSAT_Rekap</t>
        </is>
      </c>
      <c r="B57" s="2" t="inlineStr">
        <is>
          <t>reporting_status</t>
        </is>
      </c>
      <c r="C57" s="2" t="inlineStr">
        <is>
          <t>text</t>
        </is>
      </c>
      <c r="D57" s="2" t="b">
        <v>0</v>
      </c>
      <c r="E57" s="2" t="b">
        <v>0</v>
      </c>
      <c r="F57" s="2" t="inlineStr">
        <is>
          <t>Kode/label/atribut sesuai nama kolom dan grain; lihat Rencana_ETL serta definisi metrik. Jangan menjumlahkan rasio atau satuan berbeda.</t>
        </is>
      </c>
      <c r="G57" s="2" t="inlineStr">
        <is>
          <t>FINAL_SIMULATED</t>
        </is>
      </c>
    </row>
    <row r="58">
      <c r="A58" s="2" t="inlineStr">
        <is>
          <t>CSAT_Rekap</t>
        </is>
      </c>
      <c r="B58" s="2" t="inlineStr">
        <is>
          <t>collected_at</t>
        </is>
      </c>
      <c r="C58" s="2" t="inlineStr">
        <is>
          <t>timestamptz</t>
        </is>
      </c>
      <c r="D58" s="2" t="b">
        <v>0</v>
      </c>
      <c r="E58" s="2" t="b">
        <v>0</v>
      </c>
      <c r="F58" s="2" t="inlineStr">
        <is>
          <t>Waktu pengambilan, bukan periode bisnis.</t>
        </is>
      </c>
      <c r="G58" s="2" t="inlineStr">
        <is>
          <t>2026-03-03T09:00:00+07:00</t>
        </is>
      </c>
    </row>
    <row r="59">
      <c r="A59" s="2" t="inlineStr">
        <is>
          <t>CSAT_Rekap</t>
        </is>
      </c>
      <c r="B59" s="2" t="inlineStr">
        <is>
          <t>data_as_of_at</t>
        </is>
      </c>
      <c r="C59" s="2" t="inlineStr">
        <is>
          <t>timestamptz</t>
        </is>
      </c>
      <c r="D59" s="2" t="b">
        <v>0</v>
      </c>
      <c r="E59" s="2" t="b">
        <v>0</v>
      </c>
      <c r="F59" s="2" t="inlineStr">
        <is>
          <t>Batas kondisi data yang berlaku; timestamp teks ISO dengan offset.</t>
        </is>
      </c>
      <c r="G59" s="2" t="inlineStr">
        <is>
          <t>2026-03-03T09:00:00+07:00</t>
        </is>
      </c>
    </row>
    <row r="60">
      <c r="A60" s="2" t="inlineStr">
        <is>
          <t>Action_Plan</t>
        </is>
      </c>
      <c r="B60" s="2" t="inlineStr">
        <is>
          <t>action_id</t>
        </is>
      </c>
      <c r="C60" s="2" t="inlineStr">
        <is>
          <t>text</t>
        </is>
      </c>
      <c r="D60" s="2" t="b">
        <v>0</v>
      </c>
      <c r="E60" s="2" t="b">
        <v>1</v>
      </c>
      <c r="F60" s="2" t="inlineStr">
        <is>
          <t>Identitas stabil sesuai grain.</t>
        </is>
      </c>
      <c r="G60" s="2" t="inlineStr">
        <is>
          <t>ACT-CSAT-01</t>
        </is>
      </c>
    </row>
    <row r="61">
      <c r="A61" s="2" t="inlineStr">
        <is>
          <t>Action_Plan</t>
        </is>
      </c>
      <c r="B61" s="2" t="inlineStr">
        <is>
          <t>source_sheet</t>
        </is>
      </c>
      <c r="C61" s="2" t="inlineStr">
        <is>
          <t>text</t>
        </is>
      </c>
      <c r="D61" s="2" t="b">
        <v>0</v>
      </c>
      <c r="E61" s="2" t="b">
        <v>0</v>
      </c>
      <c r="F61" s="2" t="inlineStr">
        <is>
          <t>Kode/label/atribut sesuai nama kolom dan grain; lihat Rencana_ETL serta definisi metrik. Jangan menjumlahkan rasio atau satuan berbeda.</t>
        </is>
      </c>
      <c r="G61" s="2" t="inlineStr">
        <is>
          <t>CSAT_Rekap</t>
        </is>
      </c>
    </row>
    <row r="62">
      <c r="A62" s="2" t="inlineStr">
        <is>
          <t>Action_Plan</t>
        </is>
      </c>
      <c r="B62" s="2" t="inlineStr">
        <is>
          <t>source_record_id</t>
        </is>
      </c>
      <c r="C62" s="2" t="inlineStr">
        <is>
          <t>text</t>
        </is>
      </c>
      <c r="D62" s="2" t="b">
        <v>0</v>
      </c>
      <c r="E62" s="2" t="b">
        <v>0</v>
      </c>
      <c r="F62" s="2" t="inlineStr">
        <is>
          <t>Kode/label/atribut sesuai nama kolom dan grain; lihat Rencana_ETL serta definisi metrik. Jangan menjumlahkan rasio atau satuan berbeda.</t>
        </is>
      </c>
      <c r="G62" s="2" t="inlineStr">
        <is>
          <t>CSAT-1-PROD-MILK</t>
        </is>
      </c>
    </row>
    <row r="63">
      <c r="A63" s="2" t="inlineStr">
        <is>
          <t>Action_Plan</t>
        </is>
      </c>
      <c r="B63" s="2" t="inlineStr">
        <is>
          <t>unit_code</t>
        </is>
      </c>
      <c r="C63" s="2" t="inlineStr">
        <is>
          <t>text</t>
        </is>
      </c>
      <c r="D63" s="2" t="b">
        <v>0</v>
      </c>
      <c r="E63" s="2" t="b">
        <v>0</v>
      </c>
      <c r="F63" s="2" t="inlineStr">
        <is>
          <t>Kode/label/atribut sesuai nama kolom dan grain; lihat Rencana_ETL serta definisi metrik. Jangan menjumlahkan rasio atau satuan berbeda.</t>
        </is>
      </c>
      <c r="G63" s="2" t="inlineStr">
        <is>
          <t>UNIT-CS</t>
        </is>
      </c>
    </row>
    <row r="64">
      <c r="A64" s="2" t="inlineStr">
        <is>
          <t>Action_Plan</t>
        </is>
      </c>
      <c r="B64" s="2" t="inlineStr">
        <is>
          <t>indicator_code</t>
        </is>
      </c>
      <c r="C64" s="2" t="inlineStr">
        <is>
          <t>text</t>
        </is>
      </c>
      <c r="D64" s="2" t="b">
        <v>0</v>
      </c>
      <c r="E64" s="2" t="b">
        <v>0</v>
      </c>
      <c r="F64" s="2" t="inlineStr">
        <is>
          <t>Kode/label/atribut sesuai nama kolom dan grain; lihat Rencana_ETL serta definisi metrik. Jangan menjumlahkan rasio atau satuan berbeda.</t>
        </is>
      </c>
      <c r="G64" s="2" t="inlineStr">
        <is>
          <t>PRODUCT_CSAT</t>
        </is>
      </c>
    </row>
    <row r="65">
      <c r="A65" s="2" t="inlineStr">
        <is>
          <t>Action_Plan</t>
        </is>
      </c>
      <c r="B65" s="2" t="inlineStr">
        <is>
          <t>period_start</t>
        </is>
      </c>
      <c r="C65" s="2" t="inlineStr">
        <is>
          <t>date</t>
        </is>
      </c>
      <c r="D65" s="2" t="b">
        <v>0</v>
      </c>
      <c r="E65" s="2" t="b">
        <v>0</v>
      </c>
      <c r="F65" s="2" t="inlineStr">
        <is>
          <t>Tanggal pertama periode bisnis yang dicakup; teks ISO yyyy-mm-dd.</t>
        </is>
      </c>
      <c r="G65" s="2" t="inlineStr">
        <is>
          <t>2026-01-01</t>
        </is>
      </c>
    </row>
    <row r="66">
      <c r="A66" s="2" t="inlineStr">
        <is>
          <t>Action_Plan</t>
        </is>
      </c>
      <c r="B66" s="2" t="inlineStr">
        <is>
          <t>period_end</t>
        </is>
      </c>
      <c r="C66" s="2" t="inlineStr">
        <is>
          <t>date</t>
        </is>
      </c>
      <c r="D66" s="2" t="b">
        <v>0</v>
      </c>
      <c r="E66" s="2" t="b">
        <v>0</v>
      </c>
      <c r="F66" s="2" t="inlineStr">
        <is>
          <t>Tanggal terakhir periode bisnis yang dicakup, inklusif; bukan tanggal pengambilan.</t>
        </is>
      </c>
      <c r="G66" s="2" t="inlineStr">
        <is>
          <t>2026-01-31</t>
        </is>
      </c>
    </row>
    <row r="67">
      <c r="A67" s="2" t="inlineStr">
        <is>
          <t>Action_Plan</t>
        </is>
      </c>
      <c r="B67" s="2" t="inlineStr">
        <is>
          <t>baseline_value</t>
        </is>
      </c>
      <c r="C67" s="2" t="inlineStr">
        <is>
          <t>numeric</t>
        </is>
      </c>
      <c r="D67" s="2" t="b">
        <v>0</v>
      </c>
      <c r="E67" s="2" t="b">
        <v>0</v>
      </c>
      <c r="F67" s="2" t="inlineStr">
        <is>
          <t>Nilai awal yang dibekukan pada periode bukti sebelum tindakan.</t>
        </is>
      </c>
      <c r="G67" s="2" t="inlineStr">
        <is>
          <t>0.454545</t>
        </is>
      </c>
    </row>
    <row r="68">
      <c r="A68" s="2" t="inlineStr">
        <is>
          <t>Action_Plan</t>
        </is>
      </c>
      <c r="B68" s="2" t="inlineStr">
        <is>
          <t>target_value</t>
        </is>
      </c>
      <c r="C68" s="2" t="inlineStr">
        <is>
          <t>numeric</t>
        </is>
      </c>
      <c r="D68" s="2" t="b">
        <v>0</v>
      </c>
      <c r="E68" s="2" t="b">
        <v>0</v>
      </c>
      <c r="F68" s="2" t="inlineStr">
        <is>
          <t>Target yang disetujui pada satuan dan arah indikator; target contoh harus diganti/direview.</t>
        </is>
      </c>
      <c r="G68" s="2" t="inlineStr">
        <is>
          <t>0.8</t>
        </is>
      </c>
    </row>
    <row r="69">
      <c r="A69" s="2" t="inlineStr">
        <is>
          <t>Action_Plan</t>
        </is>
      </c>
      <c r="B69" s="2" t="inlineStr">
        <is>
          <t>measurement_unit</t>
        </is>
      </c>
      <c r="C69" s="2" t="inlineStr">
        <is>
          <t>text</t>
        </is>
      </c>
      <c r="D69" s="2" t="b">
        <v>0</v>
      </c>
      <c r="E69" s="2" t="b">
        <v>0</v>
      </c>
      <c r="F69" s="2" t="inlineStr">
        <is>
          <t>Kode/label/atribut sesuai nama kolom dan grain; lihat Rencana_ETL serta definisi metrik. Jangan menjumlahkan rasio atau satuan berbeda.</t>
        </is>
      </c>
      <c r="G69" s="2" t="inlineStr">
        <is>
          <t>RATIO</t>
        </is>
      </c>
    </row>
    <row r="70">
      <c r="A70" s="2" t="inlineStr">
        <is>
          <t>Action_Plan</t>
        </is>
      </c>
      <c r="B70" s="2" t="inlineStr">
        <is>
          <t>finding</t>
        </is>
      </c>
      <c r="C70" s="2" t="inlineStr">
        <is>
          <t>text</t>
        </is>
      </c>
      <c r="D70" s="2" t="b">
        <v>0</v>
      </c>
      <c r="E70" s="2" t="b">
        <v>0</v>
      </c>
      <c r="F70" s="2" t="inlineStr">
        <is>
          <t>Kode/label/atribut sesuai nama kolom dan grain; lihat Rencana_ETL serta definisi metrik. Jangan menjumlahkan rasio atau satuan berbeda.</t>
        </is>
      </c>
      <c r="G70" s="2" t="inlineStr">
        <is>
          <t>CSAT produk Januari di bawah target contoh 80%.</t>
        </is>
      </c>
    </row>
    <row r="71">
      <c r="A71" s="2" t="inlineStr">
        <is>
          <t>Action_Plan</t>
        </is>
      </c>
      <c r="B71" s="2" t="inlineStr">
        <is>
          <t>cause_hypothesis</t>
        </is>
      </c>
      <c r="C71" s="2" t="inlineStr">
        <is>
          <t>text</t>
        </is>
      </c>
      <c r="D71" s="2" t="b">
        <v>0</v>
      </c>
      <c r="E71" s="2" t="b">
        <v>0</v>
      </c>
      <c r="F71" s="2" t="inlineStr">
        <is>
          <t>Kode/label/atribut sesuai nama kolom dan grain; lihat Rencana_ETL serta definisi metrik. Jangan menjumlahkan rasio atau satuan berbeda.</t>
        </is>
      </c>
      <c r="G71" s="2" t="inlineStr">
        <is>
          <t>Masalah pengalaman produk masih dugaan; sampel kecil/self-selection dapat memengaruhi hasil.</t>
        </is>
      </c>
    </row>
    <row r="72">
      <c r="A72" s="2" t="inlineStr">
        <is>
          <t>Action_Plan</t>
        </is>
      </c>
      <c r="B72" s="2" t="inlineStr">
        <is>
          <t>cause_status</t>
        </is>
      </c>
      <c r="C72" s="2" t="inlineStr">
        <is>
          <t>text</t>
        </is>
      </c>
      <c r="D72" s="2" t="b">
        <v>0</v>
      </c>
      <c r="E72" s="2" t="b">
        <v>0</v>
      </c>
      <c r="F72" s="2" t="inlineStr">
        <is>
          <t>UNVERIFIED menunjukkan hipotesis belum menjadi akar penyebab yang terbukti.</t>
        </is>
      </c>
      <c r="G72" s="2" t="inlineStr">
        <is>
          <t>UNVERIFIED</t>
        </is>
      </c>
    </row>
    <row r="73">
      <c r="A73" s="2" t="inlineStr">
        <is>
          <t>Action_Plan</t>
        </is>
      </c>
      <c r="B73" s="2" t="inlineStr">
        <is>
          <t>evidence_ref</t>
        </is>
      </c>
      <c r="C73" s="2" t="inlineStr">
        <is>
          <t>text</t>
        </is>
      </c>
      <c r="D73" s="2" t="b">
        <v>0</v>
      </c>
      <c r="E73" s="2" t="b">
        <v>0</v>
      </c>
      <c r="F73" s="2" t="inlineStr">
        <is>
          <t>Referensi bukti simulasi; ganti dengan bukti nyata yang aksesnya sesuai.</t>
        </is>
      </c>
      <c r="G73" s="2" t="inlineStr">
        <is>
          <t>SIMULASI::CSAT_Rekap::CSAT-1-PROD-MILK</t>
        </is>
      </c>
    </row>
    <row r="74">
      <c r="A74" s="2" t="inlineStr">
        <is>
          <t>Action_Plan</t>
        </is>
      </c>
      <c r="B74" s="2" t="inlineStr">
        <is>
          <t>action_description</t>
        </is>
      </c>
      <c r="C74" s="2" t="inlineStr">
        <is>
          <t>text</t>
        </is>
      </c>
      <c r="D74" s="2" t="b">
        <v>0</v>
      </c>
      <c r="E74" s="2" t="b">
        <v>0</v>
      </c>
      <c r="F74" s="2" t="inlineStr">
        <is>
          <t>Kode/label/atribut sesuai nama kolom dan grain; lihat Rencana_ETL serta definisi metrik. Jangan menjumlahkan rasio atau satuan berbeda.</t>
        </is>
      </c>
      <c r="G74" s="2" t="inlineStr">
        <is>
          <t>Perbaiki cakupan sampel dan lakukan wawancara terstruktur anonim; verifikasi tema masalah sebelum uji perbaikan produk.</t>
        </is>
      </c>
    </row>
    <row r="75">
      <c r="A75" s="2" t="inlineStr">
        <is>
          <t>Action_Plan</t>
        </is>
      </c>
      <c r="B75" s="2" t="inlineStr">
        <is>
          <t>owner_team_code</t>
        </is>
      </c>
      <c r="C75" s="2" t="inlineStr">
        <is>
          <t>text</t>
        </is>
      </c>
      <c r="D75" s="2" t="b">
        <v>0</v>
      </c>
      <c r="E75" s="2" t="b">
        <v>0</v>
      </c>
      <c r="F75" s="2" t="inlineStr">
        <is>
          <t>Kode/label/atribut sesuai nama kolom dan grain; lihat Rencana_ETL serta definisi metrik. Jangan menjumlahkan rasio atau satuan berbeda.</t>
        </is>
      </c>
      <c r="G75" s="2" t="inlineStr">
        <is>
          <t>TEAM-CS</t>
        </is>
      </c>
    </row>
    <row r="76">
      <c r="A76" s="2" t="inlineStr">
        <is>
          <t>Action_Plan</t>
        </is>
      </c>
      <c r="B76" s="2" t="inlineStr">
        <is>
          <t>due_date</t>
        </is>
      </c>
      <c r="C76" s="2" t="inlineStr">
        <is>
          <t>date</t>
        </is>
      </c>
      <c r="D76" s="2" t="b">
        <v>0</v>
      </c>
      <c r="E76" s="2" t="b">
        <v>0</v>
      </c>
      <c r="F76" s="2" t="inlineStr">
        <is>
          <t>Tenggat tindakan bisnis, bukan periode pengukuran.</t>
        </is>
      </c>
      <c r="G76" s="2" t="inlineStr">
        <is>
          <t>2026-02-15</t>
        </is>
      </c>
    </row>
    <row r="77">
      <c r="A77" s="2" t="inlineStr">
        <is>
          <t>Action_Plan</t>
        </is>
      </c>
      <c r="B77" s="2" t="inlineStr">
        <is>
          <t>action_status</t>
        </is>
      </c>
      <c r="C77" s="2" t="inlineStr">
        <is>
          <t>text</t>
        </is>
      </c>
      <c r="D77" s="2" t="b">
        <v>0</v>
      </c>
      <c r="E77" s="2" t="b">
        <v>0</v>
      </c>
      <c r="F77" s="2" t="inlineStr">
        <is>
          <t>Kode/label/atribut sesuai nama kolom dan grain; lihat Rencana_ETL serta definisi metrik. Jangan menjumlahkan rasio atau satuan berbeda.</t>
        </is>
      </c>
      <c r="G77" s="2" t="inlineStr">
        <is>
          <t>PLANNED</t>
        </is>
      </c>
    </row>
    <row r="78">
      <c r="A78" s="2" t="inlineStr">
        <is>
          <t>Action_Plan</t>
        </is>
      </c>
      <c r="B78" s="2" t="inlineStr">
        <is>
          <t>followup_start</t>
        </is>
      </c>
      <c r="C78" s="2" t="inlineStr">
        <is>
          <t>date</t>
        </is>
      </c>
      <c r="D78" s="2" t="b">
        <v>0</v>
      </c>
      <c r="E78" s="2" t="b">
        <v>0</v>
      </c>
      <c r="F78" s="2" t="inlineStr">
        <is>
          <t>Kode/label/atribut sesuai nama kolom dan grain; lihat Rencana_ETL serta definisi metrik. Jangan menjumlahkan rasio atau satuan berbeda.</t>
        </is>
      </c>
      <c r="G78" s="2" t="inlineStr">
        <is>
          <t>2026-02-01</t>
        </is>
      </c>
    </row>
    <row r="79">
      <c r="A79" s="2" t="inlineStr">
        <is>
          <t>Action_Plan</t>
        </is>
      </c>
      <c r="B79" s="2" t="inlineStr">
        <is>
          <t>followup_end</t>
        </is>
      </c>
      <c r="C79" s="2" t="inlineStr">
        <is>
          <t>date</t>
        </is>
      </c>
      <c r="D79" s="2" t="b">
        <v>0</v>
      </c>
      <c r="E79" s="2" t="b">
        <v>0</v>
      </c>
      <c r="F79" s="2" t="inlineStr">
        <is>
          <t>Kode/label/atribut sesuai nama kolom dan grain; lihat Rencana_ETL serta definisi metrik. Jangan menjumlahkan rasio atau satuan berbeda.</t>
        </is>
      </c>
      <c r="G79" s="2" t="inlineStr">
        <is>
          <t>2026-02-28</t>
        </is>
      </c>
    </row>
    <row r="80">
      <c r="A80" s="2" t="inlineStr">
        <is>
          <t>Action_Plan</t>
        </is>
      </c>
      <c r="B80" s="2" t="inlineStr">
        <is>
          <t>followup_value</t>
        </is>
      </c>
      <c r="C80" s="2" t="inlineStr">
        <is>
          <t>numeric</t>
        </is>
      </c>
      <c r="D80" s="2" t="b">
        <v>1</v>
      </c>
      <c r="E80" s="2" t="b">
        <v>0</v>
      </c>
      <c r="F80" s="2" t="inlineStr">
        <is>
          <t>Hasil ukur setelah tindakan; NULL jika belum dievaluasi, bukan 0.</t>
        </is>
      </c>
      <c r="G80" s="2" t="inlineStr">
        <is>
          <t>Kosong: belum diukur/tidak berlaku; bukan 0</t>
        </is>
      </c>
    </row>
    <row r="81">
      <c r="A81" s="2" t="inlineStr">
        <is>
          <t>Action_Plan</t>
        </is>
      </c>
      <c r="B81" s="2" t="inlineStr">
        <is>
          <t>verification_status</t>
        </is>
      </c>
      <c r="C81" s="2" t="inlineStr">
        <is>
          <t>text</t>
        </is>
      </c>
      <c r="D81" s="2" t="b">
        <v>0</v>
      </c>
      <c r="E81" s="2" t="b">
        <v>0</v>
      </c>
      <c r="F81" s="2" t="inlineStr">
        <is>
          <t>NOT_EVALUATED berarti tindakan/hasil belum diverifikasi.</t>
        </is>
      </c>
      <c r="G81" s="2" t="inlineStr">
        <is>
          <t>NOT_EVALUATED</t>
        </is>
      </c>
    </row>
    <row r="82">
      <c r="A82" s="2" t="inlineStr">
        <is>
          <t>Action_Plan</t>
        </is>
      </c>
      <c r="B82" s="2" t="inlineStr">
        <is>
          <t>collected_at</t>
        </is>
      </c>
      <c r="C82" s="2" t="inlineStr">
        <is>
          <t>timestamptz</t>
        </is>
      </c>
      <c r="D82" s="2" t="b">
        <v>0</v>
      </c>
      <c r="E82" s="2" t="b">
        <v>0</v>
      </c>
      <c r="F82" s="2" t="inlineStr">
        <is>
          <t>Waktu pengambilan, bukan periode bisnis.</t>
        </is>
      </c>
      <c r="G82" s="2" t="inlineStr">
        <is>
          <t>2026-02-02T09:00:00+07:00</t>
        </is>
      </c>
    </row>
  </sheetData>
  <autoFilter ref="A1:G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5" customWidth="1" min="7" max="7"/>
  </cols>
  <sheetData>
    <row r="1" ht="32" customHeight="1">
      <c r="A1" s="1" t="inlineStr">
        <is>
          <t>sheet</t>
        </is>
      </c>
      <c r="B1" s="1" t="inlineStr">
        <is>
          <t>classification</t>
        </is>
      </c>
      <c r="C1" s="1" t="inlineStr">
        <is>
          <t>grain</t>
        </is>
      </c>
      <c r="D1" s="1" t="inlineStr">
        <is>
          <t>business_key</t>
        </is>
      </c>
      <c r="E1" s="1" t="inlineStr">
        <is>
          <t>load</t>
        </is>
      </c>
      <c r="F1" s="1" t="inlineStr">
        <is>
          <t>metrics</t>
        </is>
      </c>
      <c r="G1" s="1" t="inlineStr">
        <is>
          <t>notes</t>
        </is>
      </c>
    </row>
    <row r="2">
      <c r="A2" s="2" t="inlineStr">
        <is>
          <t>Master_Unit</t>
        </is>
      </c>
      <c r="B2" s="2" t="inlineStr">
        <is>
          <t>MASTER</t>
        </is>
      </c>
      <c r="C2" s="2" t="inlineStr">
        <is>
          <t>satu baris per unit</t>
        </is>
      </c>
      <c r="D2" s="2" t="inlineStr">
        <is>
          <t>unit_code</t>
        </is>
      </c>
      <c r="E2" s="2" t="inlineStr">
        <is>
          <t>Registry master</t>
        </is>
      </c>
      <c r="F2" s="2" t="inlineStr">
        <is>
          <t>Review definisi sebelum menambahkan metrik</t>
        </is>
      </c>
      <c r="G2" s="2" t="inlineStr"/>
    </row>
    <row r="3">
      <c r="A3" s="2" t="inlineStr">
        <is>
          <t>Master_Produk</t>
        </is>
      </c>
      <c r="B3" s="2" t="inlineStr">
        <is>
          <t>MASTER</t>
        </is>
      </c>
      <c r="C3" s="2" t="inlineStr">
        <is>
          <t>satu baris per produk</t>
        </is>
      </c>
      <c r="D3" s="2" t="inlineStr">
        <is>
          <t>product_code</t>
        </is>
      </c>
      <c r="E3" s="2" t="inlineStr">
        <is>
          <t>Registry master</t>
        </is>
      </c>
      <c r="F3" s="2" t="inlineStr">
        <is>
          <t>Review definisi sebelum menambahkan metrik</t>
        </is>
      </c>
      <c r="G3" s="2" t="inlineStr"/>
    </row>
    <row r="4">
      <c r="A4" s="2" t="inlineStr">
        <is>
          <t>Master_Area</t>
        </is>
      </c>
      <c r="B4" s="2" t="inlineStr">
        <is>
          <t>MASTER</t>
        </is>
      </c>
      <c r="C4" s="2" t="inlineStr">
        <is>
          <t>satu baris per area</t>
        </is>
      </c>
      <c r="D4" s="2" t="inlineStr">
        <is>
          <t>area_code</t>
        </is>
      </c>
      <c r="E4" s="2" t="inlineStr">
        <is>
          <t>Registry master</t>
        </is>
      </c>
      <c r="F4" s="2" t="inlineStr">
        <is>
          <t>Review definisi sebelum menambahkan metrik</t>
        </is>
      </c>
      <c r="G4" s="2" t="inlineStr"/>
    </row>
    <row r="5">
      <c r="A5" s="2" t="inlineStr">
        <is>
          <t>Master_Tim</t>
        </is>
      </c>
      <c r="B5" s="2" t="inlineStr">
        <is>
          <t>MASTER</t>
        </is>
      </c>
      <c r="C5" s="2" t="inlineStr">
        <is>
          <t>satu baris per tim penanggung jawab</t>
        </is>
      </c>
      <c r="D5" s="2" t="inlineStr">
        <is>
          <t>owner_team_code</t>
        </is>
      </c>
      <c r="E5" s="2" t="inlineStr">
        <is>
          <t>Registry master</t>
        </is>
      </c>
      <c r="F5" s="2" t="inlineStr">
        <is>
          <t>Review definisi sebelum menambahkan metrik</t>
        </is>
      </c>
      <c r="G5" s="2" t="inlineStr"/>
    </row>
    <row r="6">
      <c r="A6" s="2" t="inlineStr">
        <is>
          <t>Master_Indikator</t>
        </is>
      </c>
      <c r="B6" s="2" t="inlineStr">
        <is>
          <t>MASTER</t>
        </is>
      </c>
      <c r="C6" s="2" t="inlineStr">
        <is>
          <t>satu baris per indikator dengan definisi dan satuan</t>
        </is>
      </c>
      <c r="D6" s="2" t="inlineStr">
        <is>
          <t>indicator_code</t>
        </is>
      </c>
      <c r="E6" s="2" t="inlineStr">
        <is>
          <t>Registry master</t>
        </is>
      </c>
      <c r="F6" s="2" t="inlineStr">
        <is>
          <t>Review definisi sebelum menambahkan metrik</t>
        </is>
      </c>
      <c r="G6" s="2" t="inlineStr"/>
    </row>
    <row r="7">
      <c r="A7" s="2" t="inlineStr">
        <is>
          <t>Survey_Data</t>
        </is>
      </c>
      <c r="B7" s="2" t="inlineStr">
        <is>
          <t>NON_MASTER</t>
        </is>
      </c>
      <c r="C7" s="2" t="inlineStr">
        <is>
          <t>satu baris per respons anonim produk metode survei</t>
        </is>
      </c>
      <c r="D7" s="2" t="inlineStr">
        <is>
          <t>response_id</t>
        </is>
      </c>
      <c r="E7" s="2" t="inlineStr">
        <is>
          <t>UPSERT</t>
        </is>
      </c>
      <c r="F7" s="2" t="inlineStr">
        <is>
          <t>valid_response_count:sum [RESPONSE]; satisfied_count:sum [RESPONSE]</t>
        </is>
      </c>
      <c r="G7" s="2" t="inlineStr">
        <is>
          <t>CSAT produk berdasarkan product_score &gt;=4; bukan NPS. Jangan mencampur versi pertanyaan atau menganggap sampel opt-in mewakili seluruh pelanggan.</t>
        </is>
      </c>
    </row>
    <row r="8">
      <c r="A8" s="2" t="inlineStr">
        <is>
          <t>CSAT_Rekap</t>
        </is>
      </c>
      <c r="B8" s="2" t="inlineStr">
        <is>
          <t>NON_MASTER</t>
        </is>
      </c>
      <c r="C8" s="2" t="inlineStr">
        <is>
          <t>satu baris per produk area versi survei periode</t>
        </is>
      </c>
      <c r="D8" s="2" t="inlineStr">
        <is>
          <t>csat_summary_id</t>
        </is>
      </c>
      <c r="E8" s="2" t="inlineStr">
        <is>
          <t>UPSERT</t>
        </is>
      </c>
      <c r="F8" s="2" t="inlineStr">
        <is>
          <t>valid_response_count:sum [RESPONSE]; satisfied_count:sum [RESPONSE]</t>
        </is>
      </c>
      <c r="G8" s="2" t="inlineStr">
        <is>
          <t>Sampel kecil dan opt-in: tidak ada margin of error atau klaim representatif otomatis. Rekap memakai respons valid dan formula dari raw; invited_count harus diperbarui dari log undangan yang sah.</t>
        </is>
      </c>
    </row>
    <row r="9">
      <c r="A9" s="2" t="inlineStr">
        <is>
          <t>Action_Plan</t>
        </is>
      </c>
      <c r="B9" s="2" t="inlineStr">
        <is>
          <t>NON_MASTER</t>
        </is>
      </c>
      <c r="C9" s="2" t="inlineStr">
        <is>
          <t>satu baris per tindakan yang merujuk record temuan</t>
        </is>
      </c>
      <c r="D9" s="2" t="inlineStr">
        <is>
          <t>action_id</t>
        </is>
      </c>
      <c r="E9" s="2" t="inlineStr">
        <is>
          <t>UPSERT</t>
        </is>
      </c>
      <c r="F9" s="2" t="inlineStr">
        <is>
          <t>Review definisi sebelum menambahkan metrik</t>
        </is>
      </c>
      <c r="G9" s="2" t="inlineStr">
        <is>
          <t>Baseline dibekukan sesuai periode bukti; hipotesis belum terverifikasi. Nilai follow-up kosong berarti belum dievaluasi, bukan nol.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unit_code</t>
        </is>
      </c>
      <c r="B1" s="1" t="inlineStr">
        <is>
          <t>unit_label</t>
        </is>
      </c>
      <c r="C1" s="1" t="inlineStr">
        <is>
          <t>is_active</t>
        </is>
      </c>
    </row>
    <row r="2">
      <c r="A2" s="3" t="inlineStr">
        <is>
          <t>UNIT-CS</t>
        </is>
      </c>
      <c r="B2" s="3" t="inlineStr">
        <is>
          <t>Layanan Pelanggan</t>
        </is>
      </c>
      <c r="C2" s="2" t="b">
        <v>1</v>
      </c>
    </row>
    <row r="3">
      <c r="A3" s="3" t="inlineStr">
        <is>
          <t>UNIT-MKT</t>
        </is>
      </c>
      <c r="B3" s="3" t="inlineStr">
        <is>
          <t>Marketing</t>
        </is>
      </c>
      <c r="C3" s="2" t="b">
        <v>1</v>
      </c>
    </row>
    <row r="4">
      <c r="A4" s="3" t="inlineStr">
        <is>
          <t>UNIT-OPS</t>
        </is>
      </c>
      <c r="B4" s="3" t="inlineStr">
        <is>
          <t>Operasional</t>
        </is>
      </c>
      <c r="C4" s="2" t="b">
        <v>1</v>
      </c>
    </row>
  </sheetData>
  <autoFilter ref="A1:C4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47857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product_code</t>
        </is>
      </c>
      <c r="B1" s="1" t="inlineStr">
        <is>
          <t>product_label</t>
        </is>
      </c>
      <c r="C1" s="1" t="inlineStr">
        <is>
          <t>product_group</t>
        </is>
      </c>
      <c r="D1" s="1" t="inlineStr">
        <is>
          <t>is_active</t>
        </is>
      </c>
    </row>
    <row r="2">
      <c r="A2" s="3" t="inlineStr">
        <is>
          <t>PROD-MILK</t>
        </is>
      </c>
      <c r="B2" s="3" t="inlineStr">
        <is>
          <t>Susu Contoh Plain</t>
        </is>
      </c>
      <c r="C2" s="3" t="inlineStr">
        <is>
          <t>DAIRY</t>
        </is>
      </c>
      <c r="D2" s="2" t="b">
        <v>1</v>
      </c>
    </row>
    <row r="3">
      <c r="A3" s="3" t="inlineStr">
        <is>
          <t>PROD-FEED</t>
        </is>
      </c>
      <c r="B3" s="3" t="inlineStr">
        <is>
          <t>Pakan Contoh</t>
        </is>
      </c>
      <c r="C3" s="3" t="inlineStr">
        <is>
          <t>FEED</t>
        </is>
      </c>
      <c r="D3" s="2" t="b">
        <v>1</v>
      </c>
    </row>
  </sheetData>
  <autoFilter ref="A1:D3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=REF_product_code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47857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area_code</t>
        </is>
      </c>
      <c r="B1" s="1" t="inlineStr">
        <is>
          <t>area_label</t>
        </is>
      </c>
      <c r="C1" s="1" t="inlineStr">
        <is>
          <t>is_active</t>
        </is>
      </c>
    </row>
    <row r="2">
      <c r="A2" s="3" t="inlineStr">
        <is>
          <t>AREA-A</t>
        </is>
      </c>
      <c r="B2" s="3" t="inlineStr">
        <is>
          <t>Wilayah Contoh A</t>
        </is>
      </c>
      <c r="C2" s="2" t="b">
        <v>1</v>
      </c>
    </row>
    <row r="3">
      <c r="A3" s="3" t="inlineStr">
        <is>
          <t>AREA-B</t>
        </is>
      </c>
      <c r="B3" s="3" t="inlineStr">
        <is>
          <t>Wilayah Contoh B</t>
        </is>
      </c>
      <c r="C3" s="2" t="b">
        <v>1</v>
      </c>
    </row>
  </sheetData>
  <autoFilter ref="A1:C3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=REF_area_code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owner_team_code</t>
        </is>
      </c>
      <c r="B1" s="1" t="inlineStr">
        <is>
          <t>team_label</t>
        </is>
      </c>
      <c r="C1" s="1" t="inlineStr">
        <is>
          <t>unit_code</t>
        </is>
      </c>
    </row>
    <row r="2">
      <c r="A2" s="3" t="inlineStr">
        <is>
          <t>TEAM-CS</t>
        </is>
      </c>
      <c r="B2" s="3" t="inlineStr">
        <is>
          <t>Tim Layanan</t>
        </is>
      </c>
      <c r="C2" s="3" t="inlineStr">
        <is>
          <t>UNIT-CS</t>
        </is>
      </c>
    </row>
    <row r="3">
      <c r="A3" s="3" t="inlineStr">
        <is>
          <t>TEAM-MKT</t>
        </is>
      </c>
      <c r="B3" s="3" t="inlineStr">
        <is>
          <t>Tim Marketing</t>
        </is>
      </c>
      <c r="C3" s="3" t="inlineStr">
        <is>
          <t>UNIT-MKT</t>
        </is>
      </c>
    </row>
    <row r="4">
      <c r="A4" s="3" t="inlineStr">
        <is>
          <t>TEAM-OPS</t>
        </is>
      </c>
      <c r="B4" s="3" t="inlineStr">
        <is>
          <t>Tim Operasional</t>
        </is>
      </c>
      <c r="C4" s="3" t="inlineStr">
        <is>
          <t>UNIT-OPS</t>
        </is>
      </c>
    </row>
  </sheetData>
  <autoFilter ref="A1:C4"/>
  <dataValidations count="2">
    <dataValidation sqref="A2:A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  <dataValidation sqref="C2:C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47857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indicator_code</t>
        </is>
      </c>
      <c r="B1" s="1" t="inlineStr">
        <is>
          <t>indicator_label</t>
        </is>
      </c>
      <c r="C1" s="1" t="inlineStr">
        <is>
          <t>measurement_unit</t>
        </is>
      </c>
      <c r="D1" s="1" t="inlineStr">
        <is>
          <t>direction</t>
        </is>
      </c>
      <c r="E1" s="1" t="inlineStr">
        <is>
          <t>aggregation</t>
        </is>
      </c>
      <c r="F1" s="1" t="inlineStr">
        <is>
          <t>definition</t>
        </is>
      </c>
    </row>
    <row r="2">
      <c r="A2" s="3" t="inlineStr">
        <is>
          <t>REVENUE</t>
        </is>
      </c>
      <c r="B2" s="3" t="inlineStr">
        <is>
          <t>Pendapatan tercatat</t>
        </is>
      </c>
      <c r="C2" s="3" t="inlineStr">
        <is>
          <t>IDR</t>
        </is>
      </c>
      <c r="D2" s="3" t="inlineStr">
        <is>
          <t>HIGHER_IS_BETTER</t>
        </is>
      </c>
      <c r="E2" s="3" t="inlineStr">
        <is>
          <t>SUM</t>
        </is>
      </c>
      <c r="F2" s="3" t="inlineStr">
        <is>
          <t>Jumlah pendapatan tercatat pada periode.</t>
        </is>
      </c>
    </row>
    <row r="3">
      <c r="A3" s="3" t="inlineStr">
        <is>
          <t>RESOLVED</t>
        </is>
      </c>
      <c r="B3" s="3" t="inlineStr">
        <is>
          <t>Kasus selesai</t>
        </is>
      </c>
      <c r="C3" s="3" t="inlineStr">
        <is>
          <t>CASE</t>
        </is>
      </c>
      <c r="D3" s="3" t="inlineStr">
        <is>
          <t>HIGHER_IS_BETTER</t>
        </is>
      </c>
      <c r="E3" s="3" t="inlineStr">
        <is>
          <t>SUM</t>
        </is>
      </c>
      <c r="F3" s="3" t="inlineStr">
        <is>
          <t>Jumlah kasus unik selesai pada periode.</t>
        </is>
      </c>
    </row>
    <row r="4">
      <c r="A4" s="3" t="inlineStr">
        <is>
          <t>RESPONSE_HOURS</t>
        </is>
      </c>
      <c r="B4" s="3" t="inlineStr">
        <is>
          <t>Jam respons awal</t>
        </is>
      </c>
      <c r="C4" s="3" t="inlineStr">
        <is>
          <t>HOUR</t>
        </is>
      </c>
      <c r="D4" s="3" t="inlineStr">
        <is>
          <t>LOWER_IS_BETTER</t>
        </is>
      </c>
      <c r="E4" s="3" t="inlineStr">
        <is>
          <t>AVG</t>
        </is>
      </c>
      <c r="F4" s="3" t="inlineStr">
        <is>
          <t>Rata-rata jam respons dari sampel yang dicatat.</t>
        </is>
      </c>
    </row>
    <row r="5">
      <c r="A5" s="3" t="inlineStr">
        <is>
          <t>SATISFACTION</t>
        </is>
      </c>
      <c r="B5" s="3" t="inlineStr">
        <is>
          <t>Skor kepuasan</t>
        </is>
      </c>
      <c r="C5" s="3" t="inlineStr">
        <is>
          <t>SCORE_1_5</t>
        </is>
      </c>
      <c r="D5" s="3" t="inlineStr">
        <is>
          <t>HIGHER_IS_BETTER</t>
        </is>
      </c>
      <c r="E5" s="3" t="inlineStr">
        <is>
          <t>AVG</t>
        </is>
      </c>
      <c r="F5" s="3" t="inlineStr">
        <is>
          <t>Rating sampel 1 sampai 5, bukan CSAT/NPS.</t>
        </is>
      </c>
    </row>
    <row r="6">
      <c r="A6" s="3" t="inlineStr">
        <is>
          <t>SLA_BREACH</t>
        </is>
      </c>
      <c r="B6" s="3" t="inlineStr">
        <is>
          <t>Rasio pelanggaran SLA</t>
        </is>
      </c>
      <c r="C6" s="3" t="inlineStr">
        <is>
          <t>RATIO</t>
        </is>
      </c>
      <c r="D6" s="3" t="inlineStr">
        <is>
          <t>LOWER_IS_BETTER</t>
        </is>
      </c>
      <c r="E6" s="3" t="inlineStr">
        <is>
          <t>RECOMPUTE_RATIO</t>
        </is>
      </c>
      <c r="F6" s="3" t="inlineStr">
        <is>
          <t>Keluhan melewati SLA / keluhan cohort periode.</t>
        </is>
      </c>
    </row>
    <row r="7">
      <c r="A7" s="3" t="inlineStr">
        <is>
          <t>COST_QUALIFIED_LEAD</t>
        </is>
      </c>
      <c r="B7" s="3" t="inlineStr">
        <is>
          <t>Biaya per qualified lead</t>
        </is>
      </c>
      <c r="C7" s="3" t="inlineStr">
        <is>
          <t>IDR_PER_LEAD</t>
        </is>
      </c>
      <c r="D7" s="3" t="inlineStr">
        <is>
          <t>LOWER_IS_BETTER</t>
        </is>
      </c>
      <c r="E7" s="3" t="inlineStr">
        <is>
          <t>RECOMPUTE_RATIO</t>
        </is>
      </c>
      <c r="F7" s="3" t="inlineStr">
        <is>
          <t>Spend / qualified leads yang teratribusi dan terdeduplikasi.</t>
        </is>
      </c>
    </row>
    <row r="8">
      <c r="A8" s="3" t="inlineStr">
        <is>
          <t>PRODUCT_CSAT</t>
        </is>
      </c>
      <c r="B8" s="3" t="inlineStr">
        <is>
          <t>CSAT produk</t>
        </is>
      </c>
      <c r="C8" s="3" t="inlineStr">
        <is>
          <t>RATIO</t>
        </is>
      </c>
      <c r="D8" s="3" t="inlineStr">
        <is>
          <t>HIGHER_IS_BETTER</t>
        </is>
      </c>
      <c r="E8" s="3" t="inlineStr">
        <is>
          <t>RECOMPUTE_RATIO</t>
        </is>
      </c>
      <c r="F8" s="3" t="inlineStr">
        <is>
          <t>Skor produk 4/5 dibagi respons valid pada versi survei yang sama.</t>
        </is>
      </c>
    </row>
    <row r="9">
      <c r="A9" s="3" t="inlineStr">
        <is>
          <t>SERVICE_SCORE</t>
        </is>
      </c>
      <c r="B9" s="3" t="inlineStr">
        <is>
          <t>Skor layanan</t>
        </is>
      </c>
      <c r="C9" s="3" t="inlineStr">
        <is>
          <t>SCORE_1_5</t>
        </is>
      </c>
      <c r="D9" s="3" t="inlineStr">
        <is>
          <t>HIGHER_IS_BETTER</t>
        </is>
      </c>
      <c r="E9" s="3" t="inlineStr">
        <is>
          <t>AVG</t>
        </is>
      </c>
      <c r="F9" s="3" t="inlineStr">
        <is>
          <t>Rataan skor layanan dalam metode/sampel yang sebanding.</t>
        </is>
      </c>
    </row>
  </sheetData>
  <autoFilter ref="A1:F9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563EB"/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18" customWidth="1" min="12" max="12"/>
    <col width="23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2" customHeight="1">
      <c r="A1" s="1" t="inlineStr">
        <is>
          <t>response_id</t>
        </is>
      </c>
      <c r="B1" s="1" t="inlineStr">
        <is>
          <t>respondent_code</t>
        </is>
      </c>
      <c r="C1" s="1" t="inlineStr">
        <is>
          <t>unit_code</t>
        </is>
      </c>
      <c r="D1" s="1" t="inlineStr">
        <is>
          <t>product_code</t>
        </is>
      </c>
      <c r="E1" s="1" t="inlineStr">
        <is>
          <t>area_code</t>
        </is>
      </c>
      <c r="F1" s="1" t="inlineStr">
        <is>
          <t>survey_version</t>
        </is>
      </c>
      <c r="G1" s="1" t="inlineStr">
        <is>
          <t>surveyed_at</t>
        </is>
      </c>
      <c r="H1" s="1" t="inlineStr">
        <is>
          <t>product_score</t>
        </is>
      </c>
      <c r="I1" s="1" t="inlineStr">
        <is>
          <t>service_score</t>
        </is>
      </c>
      <c r="J1" s="1" t="inlineStr">
        <is>
          <t>value_score</t>
        </is>
      </c>
      <c r="K1" s="1" t="inlineStr">
        <is>
          <t>is_valid_response</t>
        </is>
      </c>
      <c r="L1" s="1" t="inlineStr">
        <is>
          <t>excluded_reason</t>
        </is>
      </c>
      <c r="M1" s="1" t="inlineStr">
        <is>
          <t>valid_response_count</t>
        </is>
      </c>
      <c r="N1" s="1" t="inlineStr">
        <is>
          <t>satisfied_count</t>
        </is>
      </c>
      <c r="O1" s="1" t="inlineStr">
        <is>
          <t>sampling_method</t>
        </is>
      </c>
      <c r="P1" s="1" t="inlineStr">
        <is>
          <t>period_start</t>
        </is>
      </c>
      <c r="Q1" s="1" t="inlineStr">
        <is>
          <t>period_end</t>
        </is>
      </c>
      <c r="R1" s="1" t="inlineStr">
        <is>
          <t>collected_at</t>
        </is>
      </c>
      <c r="S1" s="1" t="inlineStr">
        <is>
          <t>data_as_of_at</t>
        </is>
      </c>
    </row>
    <row r="2">
      <c r="A2" s="3" t="inlineStr">
        <is>
          <t>SUR-1-PROD-MILK-00</t>
        </is>
      </c>
      <c r="B2" s="3" t="inlineStr">
        <is>
          <t>ANON-1-PROD-MILK-00</t>
        </is>
      </c>
      <c r="C2" s="3" t="inlineStr">
        <is>
          <t>UNIT-CS</t>
        </is>
      </c>
      <c r="D2" s="3" t="inlineStr">
        <is>
          <t>PROD-MILK</t>
        </is>
      </c>
      <c r="E2" s="3" t="inlineStr">
        <is>
          <t>AREA-A</t>
        </is>
      </c>
      <c r="F2" s="3" t="inlineStr">
        <is>
          <t>CSAT-5-V1</t>
        </is>
      </c>
      <c r="G2" s="3" t="inlineStr">
        <is>
          <t>2026-01-10T09:00:00+07:00</t>
        </is>
      </c>
      <c r="H2" s="2" t="n">
        <v>2</v>
      </c>
      <c r="I2" s="2" t="n">
        <v>4</v>
      </c>
      <c r="J2" s="2" t="n">
        <v>3</v>
      </c>
      <c r="K2" s="2" t="b">
        <v>1</v>
      </c>
      <c r="L2" s="3" t="n"/>
      <c r="M2" s="2" t="n">
        <v>1</v>
      </c>
      <c r="N2" s="2" t="n">
        <v>0</v>
      </c>
      <c r="O2" s="3" t="inlineStr">
        <is>
          <t>OPT_IN_SIMULATED</t>
        </is>
      </c>
      <c r="P2" s="3" t="inlineStr">
        <is>
          <t>2026-01-01</t>
        </is>
      </c>
      <c r="Q2" s="3" t="inlineStr">
        <is>
          <t>2026-01-31</t>
        </is>
      </c>
      <c r="R2" s="3" t="inlineStr">
        <is>
          <t>2026-03-03T09:00:00+07:00</t>
        </is>
      </c>
      <c r="S2" s="3" t="inlineStr">
        <is>
          <t>2026-03-03T09:00:00+07:00</t>
        </is>
      </c>
    </row>
    <row r="3">
      <c r="A3" s="3" t="inlineStr">
        <is>
          <t>SUR-1-PROD-MILK-01</t>
        </is>
      </c>
      <c r="B3" s="3" t="inlineStr">
        <is>
          <t>ANON-1-PROD-MILK-01</t>
        </is>
      </c>
      <c r="C3" s="3" t="inlineStr">
        <is>
          <t>UNIT-CS</t>
        </is>
      </c>
      <c r="D3" s="3" t="inlineStr">
        <is>
          <t>PROD-MILK</t>
        </is>
      </c>
      <c r="E3" s="3" t="inlineStr">
        <is>
          <t>AREA-A</t>
        </is>
      </c>
      <c r="F3" s="3" t="inlineStr">
        <is>
          <t>CSAT-5-V1</t>
        </is>
      </c>
      <c r="G3" s="3" t="inlineStr">
        <is>
          <t>2026-01-11T09:00:00+07:00</t>
        </is>
      </c>
      <c r="H3" s="2" t="n">
        <v>3</v>
      </c>
      <c r="I3" s="2" t="n">
        <v>4</v>
      </c>
      <c r="J3" s="2" t="n">
        <v>3</v>
      </c>
      <c r="K3" s="2" t="b">
        <v>1</v>
      </c>
      <c r="L3" s="3" t="n"/>
      <c r="M3" s="2" t="n">
        <v>1</v>
      </c>
      <c r="N3" s="2" t="n">
        <v>0</v>
      </c>
      <c r="O3" s="3" t="inlineStr">
        <is>
          <t>OPT_IN_SIMULATED</t>
        </is>
      </c>
      <c r="P3" s="3" t="inlineStr">
        <is>
          <t>2026-01-01</t>
        </is>
      </c>
      <c r="Q3" s="3" t="inlineStr">
        <is>
          <t>2026-01-31</t>
        </is>
      </c>
      <c r="R3" s="3" t="inlineStr">
        <is>
          <t>2026-03-03T09:00:00+07:00</t>
        </is>
      </c>
      <c r="S3" s="3" t="inlineStr">
        <is>
          <t>2026-03-03T09:00:00+07:00</t>
        </is>
      </c>
    </row>
    <row r="4">
      <c r="A4" s="3" t="inlineStr">
        <is>
          <t>SUR-1-PROD-MILK-02</t>
        </is>
      </c>
      <c r="B4" s="3" t="inlineStr">
        <is>
          <t>ANON-1-PROD-MILK-02</t>
        </is>
      </c>
      <c r="C4" s="3" t="inlineStr">
        <is>
          <t>UNIT-CS</t>
        </is>
      </c>
      <c r="D4" s="3" t="inlineStr">
        <is>
          <t>PROD-MILK</t>
        </is>
      </c>
      <c r="E4" s="3" t="inlineStr">
        <is>
          <t>AREA-A</t>
        </is>
      </c>
      <c r="F4" s="3" t="inlineStr">
        <is>
          <t>CSAT-5-V1</t>
        </is>
      </c>
      <c r="G4" s="3" t="inlineStr">
        <is>
          <t>2026-01-12T09:00:00+07:00</t>
        </is>
      </c>
      <c r="H4" s="2" t="n">
        <v>3</v>
      </c>
      <c r="I4" s="2" t="n">
        <v>4</v>
      </c>
      <c r="J4" s="2" t="n">
        <v>3</v>
      </c>
      <c r="K4" s="2" t="b">
        <v>1</v>
      </c>
      <c r="L4" s="3" t="n"/>
      <c r="M4" s="2" t="n">
        <v>1</v>
      </c>
      <c r="N4" s="2" t="n">
        <v>0</v>
      </c>
      <c r="O4" s="3" t="inlineStr">
        <is>
          <t>OPT_IN_SIMULATED</t>
        </is>
      </c>
      <c r="P4" s="3" t="inlineStr">
        <is>
          <t>2026-01-01</t>
        </is>
      </c>
      <c r="Q4" s="3" t="inlineStr">
        <is>
          <t>2026-01-31</t>
        </is>
      </c>
      <c r="R4" s="3" t="inlineStr">
        <is>
          <t>2026-03-03T09:00:00+07:00</t>
        </is>
      </c>
      <c r="S4" s="3" t="inlineStr">
        <is>
          <t>2026-03-03T09:00:00+07:00</t>
        </is>
      </c>
    </row>
    <row r="5">
      <c r="A5" s="3" t="inlineStr">
        <is>
          <t>SUR-1-PROD-MILK-03</t>
        </is>
      </c>
      <c r="B5" s="3" t="inlineStr">
        <is>
          <t>ANON-1-PROD-MILK-03</t>
        </is>
      </c>
      <c r="C5" s="3" t="inlineStr">
        <is>
          <t>UNIT-CS</t>
        </is>
      </c>
      <c r="D5" s="3" t="inlineStr">
        <is>
          <t>PROD-MILK</t>
        </is>
      </c>
      <c r="E5" s="3" t="inlineStr">
        <is>
          <t>AREA-A</t>
        </is>
      </c>
      <c r="F5" s="3" t="inlineStr">
        <is>
          <t>CSAT-5-V1</t>
        </is>
      </c>
      <c r="G5" s="3" t="inlineStr">
        <is>
          <t>2026-01-13T09:00:00+07:00</t>
        </is>
      </c>
      <c r="H5" s="2" t="n">
        <v>4</v>
      </c>
      <c r="I5" s="2" t="n">
        <v>4</v>
      </c>
      <c r="J5" s="2" t="n">
        <v>3</v>
      </c>
      <c r="K5" s="2" t="b">
        <v>1</v>
      </c>
      <c r="L5" s="3" t="n"/>
      <c r="M5" s="2" t="n">
        <v>1</v>
      </c>
      <c r="N5" s="2" t="n">
        <v>1</v>
      </c>
      <c r="O5" s="3" t="inlineStr">
        <is>
          <t>OPT_IN_SIMULATED</t>
        </is>
      </c>
      <c r="P5" s="3" t="inlineStr">
        <is>
          <t>2026-01-01</t>
        </is>
      </c>
      <c r="Q5" s="3" t="inlineStr">
        <is>
          <t>2026-01-31</t>
        </is>
      </c>
      <c r="R5" s="3" t="inlineStr">
        <is>
          <t>2026-03-03T09:00:00+07:00</t>
        </is>
      </c>
      <c r="S5" s="3" t="inlineStr">
        <is>
          <t>2026-03-03T09:00:00+07:00</t>
        </is>
      </c>
    </row>
    <row r="6">
      <c r="A6" s="3" t="inlineStr">
        <is>
          <t>SUR-1-PROD-MILK-04</t>
        </is>
      </c>
      <c r="B6" s="3" t="inlineStr">
        <is>
          <t>ANON-1-PROD-MILK-04</t>
        </is>
      </c>
      <c r="C6" s="3" t="inlineStr">
        <is>
          <t>UNIT-CS</t>
        </is>
      </c>
      <c r="D6" s="3" t="inlineStr">
        <is>
          <t>PROD-MILK</t>
        </is>
      </c>
      <c r="E6" s="3" t="inlineStr">
        <is>
          <t>AREA-A</t>
        </is>
      </c>
      <c r="F6" s="3" t="inlineStr">
        <is>
          <t>CSAT-5-V1</t>
        </is>
      </c>
      <c r="G6" s="3" t="inlineStr">
        <is>
          <t>2026-01-14T09:00:00+07:00</t>
        </is>
      </c>
      <c r="H6" s="2" t="n">
        <v>4</v>
      </c>
      <c r="I6" s="2" t="n">
        <v>4</v>
      </c>
      <c r="J6" s="2" t="n">
        <v>3</v>
      </c>
      <c r="K6" s="2" t="b">
        <v>1</v>
      </c>
      <c r="L6" s="3" t="n"/>
      <c r="M6" s="2" t="n">
        <v>1</v>
      </c>
      <c r="N6" s="2" t="n">
        <v>1</v>
      </c>
      <c r="O6" s="3" t="inlineStr">
        <is>
          <t>OPT_IN_SIMULATED</t>
        </is>
      </c>
      <c r="P6" s="3" t="inlineStr">
        <is>
          <t>2026-01-01</t>
        </is>
      </c>
      <c r="Q6" s="3" t="inlineStr">
        <is>
          <t>2026-01-31</t>
        </is>
      </c>
      <c r="R6" s="3" t="inlineStr">
        <is>
          <t>2026-03-03T09:00:00+07:00</t>
        </is>
      </c>
      <c r="S6" s="3" t="inlineStr">
        <is>
          <t>2026-03-03T09:00:00+07:00</t>
        </is>
      </c>
    </row>
    <row r="7">
      <c r="A7" s="3" t="inlineStr">
        <is>
          <t>SUR-1-PROD-MILK-05</t>
        </is>
      </c>
      <c r="B7" s="3" t="inlineStr">
        <is>
          <t>ANON-1-PROD-MILK-05</t>
        </is>
      </c>
      <c r="C7" s="3" t="inlineStr">
        <is>
          <t>UNIT-CS</t>
        </is>
      </c>
      <c r="D7" s="3" t="inlineStr">
        <is>
          <t>PROD-MILK</t>
        </is>
      </c>
      <c r="E7" s="3" t="inlineStr">
        <is>
          <t>AREA-A</t>
        </is>
      </c>
      <c r="F7" s="3" t="inlineStr">
        <is>
          <t>CSAT-5-V1</t>
        </is>
      </c>
      <c r="G7" s="3" t="inlineStr">
        <is>
          <t>2026-01-15T09:00:00+07:00</t>
        </is>
      </c>
      <c r="H7" s="2" t="n">
        <v>5</v>
      </c>
      <c r="I7" s="2" t="n">
        <v>4</v>
      </c>
      <c r="J7" s="2" t="n">
        <v>3</v>
      </c>
      <c r="K7" s="2" t="b">
        <v>1</v>
      </c>
      <c r="L7" s="3" t="n"/>
      <c r="M7" s="2" t="n">
        <v>1</v>
      </c>
      <c r="N7" s="2" t="n">
        <v>1</v>
      </c>
      <c r="O7" s="3" t="inlineStr">
        <is>
          <t>OPT_IN_SIMULATED</t>
        </is>
      </c>
      <c r="P7" s="3" t="inlineStr">
        <is>
          <t>2026-01-01</t>
        </is>
      </c>
      <c r="Q7" s="3" t="inlineStr">
        <is>
          <t>2026-01-31</t>
        </is>
      </c>
      <c r="R7" s="3" t="inlineStr">
        <is>
          <t>2026-03-03T09:00:00+07:00</t>
        </is>
      </c>
      <c r="S7" s="3" t="inlineStr">
        <is>
          <t>2026-03-03T09:00:00+07:00</t>
        </is>
      </c>
    </row>
    <row r="8">
      <c r="A8" s="3" t="inlineStr">
        <is>
          <t>SUR-1-PROD-MILK-06</t>
        </is>
      </c>
      <c r="B8" s="3" t="inlineStr">
        <is>
          <t>ANON-1-PROD-MILK-06</t>
        </is>
      </c>
      <c r="C8" s="3" t="inlineStr">
        <is>
          <t>UNIT-CS</t>
        </is>
      </c>
      <c r="D8" s="3" t="inlineStr">
        <is>
          <t>PROD-MILK</t>
        </is>
      </c>
      <c r="E8" s="3" t="inlineStr">
        <is>
          <t>AREA-A</t>
        </is>
      </c>
      <c r="F8" s="3" t="inlineStr">
        <is>
          <t>CSAT-5-V1</t>
        </is>
      </c>
      <c r="G8" s="3" t="inlineStr">
        <is>
          <t>2026-01-16T09:00:00+07:00</t>
        </is>
      </c>
      <c r="H8" s="2" t="n">
        <v>2</v>
      </c>
      <c r="I8" s="2" t="n">
        <v>4</v>
      </c>
      <c r="J8" s="2" t="n">
        <v>3</v>
      </c>
      <c r="K8" s="2" t="b">
        <v>1</v>
      </c>
      <c r="L8" s="3" t="n"/>
      <c r="M8" s="2" t="n">
        <v>1</v>
      </c>
      <c r="N8" s="2" t="n">
        <v>0</v>
      </c>
      <c r="O8" s="3" t="inlineStr">
        <is>
          <t>OPT_IN_SIMULATED</t>
        </is>
      </c>
      <c r="P8" s="3" t="inlineStr">
        <is>
          <t>2026-01-01</t>
        </is>
      </c>
      <c r="Q8" s="3" t="inlineStr">
        <is>
          <t>2026-01-31</t>
        </is>
      </c>
      <c r="R8" s="3" t="inlineStr">
        <is>
          <t>2026-03-03T09:00:00+07:00</t>
        </is>
      </c>
      <c r="S8" s="3" t="inlineStr">
        <is>
          <t>2026-03-03T09:00:00+07:00</t>
        </is>
      </c>
    </row>
    <row r="9">
      <c r="A9" s="3" t="inlineStr">
        <is>
          <t>SUR-1-PROD-MILK-07</t>
        </is>
      </c>
      <c r="B9" s="3" t="inlineStr">
        <is>
          <t>ANON-1-PROD-MILK-07</t>
        </is>
      </c>
      <c r="C9" s="3" t="inlineStr">
        <is>
          <t>UNIT-CS</t>
        </is>
      </c>
      <c r="D9" s="3" t="inlineStr">
        <is>
          <t>PROD-MILK</t>
        </is>
      </c>
      <c r="E9" s="3" t="inlineStr">
        <is>
          <t>AREA-A</t>
        </is>
      </c>
      <c r="F9" s="3" t="inlineStr">
        <is>
          <t>CSAT-5-V1</t>
        </is>
      </c>
      <c r="G9" s="3" t="inlineStr">
        <is>
          <t>2026-01-17T09:00:00+07:00</t>
        </is>
      </c>
      <c r="H9" s="2" t="n">
        <v>3</v>
      </c>
      <c r="I9" s="2" t="n">
        <v>4</v>
      </c>
      <c r="J9" s="2" t="n">
        <v>3</v>
      </c>
      <c r="K9" s="2" t="b">
        <v>1</v>
      </c>
      <c r="L9" s="3" t="n"/>
      <c r="M9" s="2" t="n">
        <v>1</v>
      </c>
      <c r="N9" s="2" t="n">
        <v>0</v>
      </c>
      <c r="O9" s="3" t="inlineStr">
        <is>
          <t>OPT_IN_SIMULATED</t>
        </is>
      </c>
      <c r="P9" s="3" t="inlineStr">
        <is>
          <t>2026-01-01</t>
        </is>
      </c>
      <c r="Q9" s="3" t="inlineStr">
        <is>
          <t>2026-01-31</t>
        </is>
      </c>
      <c r="R9" s="3" t="inlineStr">
        <is>
          <t>2026-03-03T09:00:00+07:00</t>
        </is>
      </c>
      <c r="S9" s="3" t="inlineStr">
        <is>
          <t>2026-03-03T09:00:00+07:00</t>
        </is>
      </c>
    </row>
    <row r="10">
      <c r="A10" s="3" t="inlineStr">
        <is>
          <t>SUR-1-PROD-MILK-08</t>
        </is>
      </c>
      <c r="B10" s="3" t="inlineStr">
        <is>
          <t>ANON-1-PROD-MILK-08</t>
        </is>
      </c>
      <c r="C10" s="3" t="inlineStr">
        <is>
          <t>UNIT-CS</t>
        </is>
      </c>
      <c r="D10" s="3" t="inlineStr">
        <is>
          <t>PROD-MILK</t>
        </is>
      </c>
      <c r="E10" s="3" t="inlineStr">
        <is>
          <t>AREA-A</t>
        </is>
      </c>
      <c r="F10" s="3" t="inlineStr">
        <is>
          <t>CSAT-5-V1</t>
        </is>
      </c>
      <c r="G10" s="3" t="inlineStr">
        <is>
          <t>2026-01-18T09:00:00+07:00</t>
        </is>
      </c>
      <c r="H10" s="2" t="n">
        <v>3</v>
      </c>
      <c r="I10" s="2" t="n">
        <v>4</v>
      </c>
      <c r="J10" s="2" t="n">
        <v>3</v>
      </c>
      <c r="K10" s="2" t="b">
        <v>1</v>
      </c>
      <c r="L10" s="3" t="n"/>
      <c r="M10" s="2" t="n">
        <v>1</v>
      </c>
      <c r="N10" s="2" t="n">
        <v>0</v>
      </c>
      <c r="O10" s="3" t="inlineStr">
        <is>
          <t>OPT_IN_SIMULATED</t>
        </is>
      </c>
      <c r="P10" s="3" t="inlineStr">
        <is>
          <t>2026-01-01</t>
        </is>
      </c>
      <c r="Q10" s="3" t="inlineStr">
        <is>
          <t>2026-01-31</t>
        </is>
      </c>
      <c r="R10" s="3" t="inlineStr">
        <is>
          <t>2026-03-03T09:00:00+07:00</t>
        </is>
      </c>
      <c r="S10" s="3" t="inlineStr">
        <is>
          <t>2026-03-03T09:00:00+07:00</t>
        </is>
      </c>
    </row>
    <row r="11">
      <c r="A11" s="3" t="inlineStr">
        <is>
          <t>SUR-1-PROD-MILK-09</t>
        </is>
      </c>
      <c r="B11" s="3" t="inlineStr">
        <is>
          <t>ANON-1-PROD-MILK-09</t>
        </is>
      </c>
      <c r="C11" s="3" t="inlineStr">
        <is>
          <t>UNIT-CS</t>
        </is>
      </c>
      <c r="D11" s="3" t="inlineStr">
        <is>
          <t>PROD-MILK</t>
        </is>
      </c>
      <c r="E11" s="3" t="inlineStr">
        <is>
          <t>AREA-A</t>
        </is>
      </c>
      <c r="F11" s="3" t="inlineStr">
        <is>
          <t>CSAT-5-V1</t>
        </is>
      </c>
      <c r="G11" s="3" t="inlineStr">
        <is>
          <t>2026-01-19T09:00:00+07:00</t>
        </is>
      </c>
      <c r="H11" s="2" t="n">
        <v>4</v>
      </c>
      <c r="I11" s="2" t="n">
        <v>4</v>
      </c>
      <c r="J11" s="2" t="n">
        <v>3</v>
      </c>
      <c r="K11" s="2" t="b">
        <v>1</v>
      </c>
      <c r="L11" s="3" t="n"/>
      <c r="M11" s="2" t="n">
        <v>1</v>
      </c>
      <c r="N11" s="2" t="n">
        <v>1</v>
      </c>
      <c r="O11" s="3" t="inlineStr">
        <is>
          <t>OPT_IN_SIMULATED</t>
        </is>
      </c>
      <c r="P11" s="3" t="inlineStr">
        <is>
          <t>2026-01-01</t>
        </is>
      </c>
      <c r="Q11" s="3" t="inlineStr">
        <is>
          <t>2026-01-31</t>
        </is>
      </c>
      <c r="R11" s="3" t="inlineStr">
        <is>
          <t>2026-03-03T09:00:00+07:00</t>
        </is>
      </c>
      <c r="S11" s="3" t="inlineStr">
        <is>
          <t>2026-03-03T09:00:00+07:00</t>
        </is>
      </c>
    </row>
    <row r="12">
      <c r="A12" s="3" t="inlineStr">
        <is>
          <t>SUR-1-PROD-MILK-10</t>
        </is>
      </c>
      <c r="B12" s="3" t="inlineStr">
        <is>
          <t>ANON-1-PROD-MILK-10</t>
        </is>
      </c>
      <c r="C12" s="3" t="inlineStr">
        <is>
          <t>UNIT-CS</t>
        </is>
      </c>
      <c r="D12" s="3" t="inlineStr">
        <is>
          <t>PROD-MILK</t>
        </is>
      </c>
      <c r="E12" s="3" t="inlineStr">
        <is>
          <t>AREA-A</t>
        </is>
      </c>
      <c r="F12" s="3" t="inlineStr">
        <is>
          <t>CSAT-5-V1</t>
        </is>
      </c>
      <c r="G12" s="3" t="inlineStr">
        <is>
          <t>2026-01-20T09:00:00+07:00</t>
        </is>
      </c>
      <c r="H12" s="2" t="n">
        <v>4</v>
      </c>
      <c r="I12" s="2" t="n">
        <v>4</v>
      </c>
      <c r="J12" s="2" t="n">
        <v>3</v>
      </c>
      <c r="K12" s="2" t="b">
        <v>1</v>
      </c>
      <c r="L12" s="3" t="n"/>
      <c r="M12" s="2" t="n">
        <v>1</v>
      </c>
      <c r="N12" s="2" t="n">
        <v>1</v>
      </c>
      <c r="O12" s="3" t="inlineStr">
        <is>
          <t>OPT_IN_SIMULATED</t>
        </is>
      </c>
      <c r="P12" s="3" t="inlineStr">
        <is>
          <t>2026-01-01</t>
        </is>
      </c>
      <c r="Q12" s="3" t="inlineStr">
        <is>
          <t>2026-01-31</t>
        </is>
      </c>
      <c r="R12" s="3" t="inlineStr">
        <is>
          <t>2026-03-03T09:00:00+07:00</t>
        </is>
      </c>
      <c r="S12" s="3" t="inlineStr">
        <is>
          <t>2026-03-03T09:00:00+07:00</t>
        </is>
      </c>
    </row>
    <row r="13">
      <c r="A13" s="3" t="inlineStr">
        <is>
          <t>SUR-1-PROD-MILK-11</t>
        </is>
      </c>
      <c r="B13" s="3" t="inlineStr">
        <is>
          <t>ANON-1-PROD-MILK-11</t>
        </is>
      </c>
      <c r="C13" s="3" t="inlineStr">
        <is>
          <t>UNIT-CS</t>
        </is>
      </c>
      <c r="D13" s="3" t="inlineStr">
        <is>
          <t>PROD-MILK</t>
        </is>
      </c>
      <c r="E13" s="3" t="inlineStr">
        <is>
          <t>AREA-A</t>
        </is>
      </c>
      <c r="F13" s="3" t="inlineStr">
        <is>
          <t>CSAT-5-V1</t>
        </is>
      </c>
      <c r="G13" s="3" t="inlineStr">
        <is>
          <t>2026-01-21T09:00:00+07:00</t>
        </is>
      </c>
      <c r="H13" s="2" t="n"/>
      <c r="I13" s="2" t="n"/>
      <c r="J13" s="2" t="n"/>
      <c r="K13" s="2" t="b">
        <v>0</v>
      </c>
      <c r="L13" s="3" t="inlineStr">
        <is>
          <t>INCOMPLETE</t>
        </is>
      </c>
      <c r="M13" s="2" t="n">
        <v>0</v>
      </c>
      <c r="N13" s="2" t="n">
        <v>0</v>
      </c>
      <c r="O13" s="3" t="inlineStr">
        <is>
          <t>OPT_IN_SIMULATED</t>
        </is>
      </c>
      <c r="P13" s="3" t="inlineStr">
        <is>
          <t>2026-01-01</t>
        </is>
      </c>
      <c r="Q13" s="3" t="inlineStr">
        <is>
          <t>2026-01-31</t>
        </is>
      </c>
      <c r="R13" s="3" t="inlineStr">
        <is>
          <t>2026-03-03T09:00:00+07:00</t>
        </is>
      </c>
      <c r="S13" s="3" t="inlineStr">
        <is>
          <t>2026-03-03T09:00:00+07:00</t>
        </is>
      </c>
    </row>
    <row r="14">
      <c r="A14" s="3" t="inlineStr">
        <is>
          <t>SUR-1-PROD-FEED-00</t>
        </is>
      </c>
      <c r="B14" s="3" t="inlineStr">
        <is>
          <t>ANON-1-PROD-FEED-00</t>
        </is>
      </c>
      <c r="C14" s="3" t="inlineStr">
        <is>
          <t>UNIT-CS</t>
        </is>
      </c>
      <c r="D14" s="3" t="inlineStr">
        <is>
          <t>PROD-FEED</t>
        </is>
      </c>
      <c r="E14" s="3" t="inlineStr">
        <is>
          <t>AREA-A</t>
        </is>
      </c>
      <c r="F14" s="3" t="inlineStr">
        <is>
          <t>CSAT-5-V1</t>
        </is>
      </c>
      <c r="G14" s="3" t="inlineStr">
        <is>
          <t>2026-01-10T09:00:00+07:00</t>
        </is>
      </c>
      <c r="H14" s="2" t="n">
        <v>2</v>
      </c>
      <c r="I14" s="2" t="n">
        <v>4</v>
      </c>
      <c r="J14" s="2" t="n">
        <v>3</v>
      </c>
      <c r="K14" s="2" t="b">
        <v>1</v>
      </c>
      <c r="L14" s="3" t="n"/>
      <c r="M14" s="2" t="n">
        <v>1</v>
      </c>
      <c r="N14" s="2" t="n">
        <v>0</v>
      </c>
      <c r="O14" s="3" t="inlineStr">
        <is>
          <t>OPT_IN_SIMULATED</t>
        </is>
      </c>
      <c r="P14" s="3" t="inlineStr">
        <is>
          <t>2026-01-01</t>
        </is>
      </c>
      <c r="Q14" s="3" t="inlineStr">
        <is>
          <t>2026-01-31</t>
        </is>
      </c>
      <c r="R14" s="3" t="inlineStr">
        <is>
          <t>2026-03-03T09:00:00+07:00</t>
        </is>
      </c>
      <c r="S14" s="3" t="inlineStr">
        <is>
          <t>2026-03-03T09:00:00+07:00</t>
        </is>
      </c>
    </row>
    <row r="15">
      <c r="A15" s="3" t="inlineStr">
        <is>
          <t>SUR-1-PROD-FEED-01</t>
        </is>
      </c>
      <c r="B15" s="3" t="inlineStr">
        <is>
          <t>ANON-1-PROD-FEED-01</t>
        </is>
      </c>
      <c r="C15" s="3" t="inlineStr">
        <is>
          <t>UNIT-CS</t>
        </is>
      </c>
      <c r="D15" s="3" t="inlineStr">
        <is>
          <t>PROD-FEED</t>
        </is>
      </c>
      <c r="E15" s="3" t="inlineStr">
        <is>
          <t>AREA-A</t>
        </is>
      </c>
      <c r="F15" s="3" t="inlineStr">
        <is>
          <t>CSAT-5-V1</t>
        </is>
      </c>
      <c r="G15" s="3" t="inlineStr">
        <is>
          <t>2026-01-11T09:00:00+07:00</t>
        </is>
      </c>
      <c r="H15" s="2" t="n">
        <v>3</v>
      </c>
      <c r="I15" s="2" t="n">
        <v>4</v>
      </c>
      <c r="J15" s="2" t="n">
        <v>3</v>
      </c>
      <c r="K15" s="2" t="b">
        <v>1</v>
      </c>
      <c r="L15" s="3" t="n"/>
      <c r="M15" s="2" t="n">
        <v>1</v>
      </c>
      <c r="N15" s="2" t="n">
        <v>0</v>
      </c>
      <c r="O15" s="3" t="inlineStr">
        <is>
          <t>OPT_IN_SIMULATED</t>
        </is>
      </c>
      <c r="P15" s="3" t="inlineStr">
        <is>
          <t>2026-01-01</t>
        </is>
      </c>
      <c r="Q15" s="3" t="inlineStr">
        <is>
          <t>2026-01-31</t>
        </is>
      </c>
      <c r="R15" s="3" t="inlineStr">
        <is>
          <t>2026-03-03T09:00:00+07:00</t>
        </is>
      </c>
      <c r="S15" s="3" t="inlineStr">
        <is>
          <t>2026-03-03T09:00:00+07:00</t>
        </is>
      </c>
    </row>
    <row r="16">
      <c r="A16" s="3" t="inlineStr">
        <is>
          <t>SUR-1-PROD-FEED-02</t>
        </is>
      </c>
      <c r="B16" s="3" t="inlineStr">
        <is>
          <t>ANON-1-PROD-FEED-02</t>
        </is>
      </c>
      <c r="C16" s="3" t="inlineStr">
        <is>
          <t>UNIT-CS</t>
        </is>
      </c>
      <c r="D16" s="3" t="inlineStr">
        <is>
          <t>PROD-FEED</t>
        </is>
      </c>
      <c r="E16" s="3" t="inlineStr">
        <is>
          <t>AREA-A</t>
        </is>
      </c>
      <c r="F16" s="3" t="inlineStr">
        <is>
          <t>CSAT-5-V1</t>
        </is>
      </c>
      <c r="G16" s="3" t="inlineStr">
        <is>
          <t>2026-01-12T09:00:00+07:00</t>
        </is>
      </c>
      <c r="H16" s="2" t="n">
        <v>3</v>
      </c>
      <c r="I16" s="2" t="n">
        <v>4</v>
      </c>
      <c r="J16" s="2" t="n">
        <v>3</v>
      </c>
      <c r="K16" s="2" t="b">
        <v>1</v>
      </c>
      <c r="L16" s="3" t="n"/>
      <c r="M16" s="2" t="n">
        <v>1</v>
      </c>
      <c r="N16" s="2" t="n">
        <v>0</v>
      </c>
      <c r="O16" s="3" t="inlineStr">
        <is>
          <t>OPT_IN_SIMULATED</t>
        </is>
      </c>
      <c r="P16" s="3" t="inlineStr">
        <is>
          <t>2026-01-01</t>
        </is>
      </c>
      <c r="Q16" s="3" t="inlineStr">
        <is>
          <t>2026-01-31</t>
        </is>
      </c>
      <c r="R16" s="3" t="inlineStr">
        <is>
          <t>2026-03-03T09:00:00+07:00</t>
        </is>
      </c>
      <c r="S16" s="3" t="inlineStr">
        <is>
          <t>2026-03-03T09:00:00+07:00</t>
        </is>
      </c>
    </row>
    <row r="17">
      <c r="A17" s="3" t="inlineStr">
        <is>
          <t>SUR-1-PROD-FEED-03</t>
        </is>
      </c>
      <c r="B17" s="3" t="inlineStr">
        <is>
          <t>ANON-1-PROD-FEED-03</t>
        </is>
      </c>
      <c r="C17" s="3" t="inlineStr">
        <is>
          <t>UNIT-CS</t>
        </is>
      </c>
      <c r="D17" s="3" t="inlineStr">
        <is>
          <t>PROD-FEED</t>
        </is>
      </c>
      <c r="E17" s="3" t="inlineStr">
        <is>
          <t>AREA-A</t>
        </is>
      </c>
      <c r="F17" s="3" t="inlineStr">
        <is>
          <t>CSAT-5-V1</t>
        </is>
      </c>
      <c r="G17" s="3" t="inlineStr">
        <is>
          <t>2026-01-13T09:00:00+07:00</t>
        </is>
      </c>
      <c r="H17" s="2" t="n">
        <v>4</v>
      </c>
      <c r="I17" s="2" t="n">
        <v>4</v>
      </c>
      <c r="J17" s="2" t="n">
        <v>3</v>
      </c>
      <c r="K17" s="2" t="b">
        <v>1</v>
      </c>
      <c r="L17" s="3" t="n"/>
      <c r="M17" s="2" t="n">
        <v>1</v>
      </c>
      <c r="N17" s="2" t="n">
        <v>1</v>
      </c>
      <c r="O17" s="3" t="inlineStr">
        <is>
          <t>OPT_IN_SIMULATED</t>
        </is>
      </c>
      <c r="P17" s="3" t="inlineStr">
        <is>
          <t>2026-01-01</t>
        </is>
      </c>
      <c r="Q17" s="3" t="inlineStr">
        <is>
          <t>2026-01-31</t>
        </is>
      </c>
      <c r="R17" s="3" t="inlineStr">
        <is>
          <t>2026-03-03T09:00:00+07:00</t>
        </is>
      </c>
      <c r="S17" s="3" t="inlineStr">
        <is>
          <t>2026-03-03T09:00:00+07:00</t>
        </is>
      </c>
    </row>
    <row r="18">
      <c r="A18" s="3" t="inlineStr">
        <is>
          <t>SUR-1-PROD-FEED-04</t>
        </is>
      </c>
      <c r="B18" s="3" t="inlineStr">
        <is>
          <t>ANON-1-PROD-FEED-04</t>
        </is>
      </c>
      <c r="C18" s="3" t="inlineStr">
        <is>
          <t>UNIT-CS</t>
        </is>
      </c>
      <c r="D18" s="3" t="inlineStr">
        <is>
          <t>PROD-FEED</t>
        </is>
      </c>
      <c r="E18" s="3" t="inlineStr">
        <is>
          <t>AREA-A</t>
        </is>
      </c>
      <c r="F18" s="3" t="inlineStr">
        <is>
          <t>CSAT-5-V1</t>
        </is>
      </c>
      <c r="G18" s="3" t="inlineStr">
        <is>
          <t>2026-01-14T09:00:00+07:00</t>
        </is>
      </c>
      <c r="H18" s="2" t="n">
        <v>4</v>
      </c>
      <c r="I18" s="2" t="n">
        <v>4</v>
      </c>
      <c r="J18" s="2" t="n">
        <v>3</v>
      </c>
      <c r="K18" s="2" t="b">
        <v>1</v>
      </c>
      <c r="L18" s="3" t="n"/>
      <c r="M18" s="2" t="n">
        <v>1</v>
      </c>
      <c r="N18" s="2" t="n">
        <v>1</v>
      </c>
      <c r="O18" s="3" t="inlineStr">
        <is>
          <t>OPT_IN_SIMULATED</t>
        </is>
      </c>
      <c r="P18" s="3" t="inlineStr">
        <is>
          <t>2026-01-01</t>
        </is>
      </c>
      <c r="Q18" s="3" t="inlineStr">
        <is>
          <t>2026-01-31</t>
        </is>
      </c>
      <c r="R18" s="3" t="inlineStr">
        <is>
          <t>2026-03-03T09:00:00+07:00</t>
        </is>
      </c>
      <c r="S18" s="3" t="inlineStr">
        <is>
          <t>2026-03-03T09:00:00+07:00</t>
        </is>
      </c>
    </row>
    <row r="19">
      <c r="A19" s="3" t="inlineStr">
        <is>
          <t>SUR-1-PROD-FEED-05</t>
        </is>
      </c>
      <c r="B19" s="3" t="inlineStr">
        <is>
          <t>ANON-1-PROD-FEED-05</t>
        </is>
      </c>
      <c r="C19" s="3" t="inlineStr">
        <is>
          <t>UNIT-CS</t>
        </is>
      </c>
      <c r="D19" s="3" t="inlineStr">
        <is>
          <t>PROD-FEED</t>
        </is>
      </c>
      <c r="E19" s="3" t="inlineStr">
        <is>
          <t>AREA-A</t>
        </is>
      </c>
      <c r="F19" s="3" t="inlineStr">
        <is>
          <t>CSAT-5-V1</t>
        </is>
      </c>
      <c r="G19" s="3" t="inlineStr">
        <is>
          <t>2026-01-15T09:00:00+07:00</t>
        </is>
      </c>
      <c r="H19" s="2" t="n">
        <v>5</v>
      </c>
      <c r="I19" s="2" t="n">
        <v>4</v>
      </c>
      <c r="J19" s="2" t="n">
        <v>3</v>
      </c>
      <c r="K19" s="2" t="b">
        <v>1</v>
      </c>
      <c r="L19" s="3" t="n"/>
      <c r="M19" s="2" t="n">
        <v>1</v>
      </c>
      <c r="N19" s="2" t="n">
        <v>1</v>
      </c>
      <c r="O19" s="3" t="inlineStr">
        <is>
          <t>OPT_IN_SIMULATED</t>
        </is>
      </c>
      <c r="P19" s="3" t="inlineStr">
        <is>
          <t>2026-01-01</t>
        </is>
      </c>
      <c r="Q19" s="3" t="inlineStr">
        <is>
          <t>2026-01-31</t>
        </is>
      </c>
      <c r="R19" s="3" t="inlineStr">
        <is>
          <t>2026-03-03T09:00:00+07:00</t>
        </is>
      </c>
      <c r="S19" s="3" t="inlineStr">
        <is>
          <t>2026-03-03T09:00:00+07:00</t>
        </is>
      </c>
    </row>
    <row r="20">
      <c r="A20" s="3" t="inlineStr">
        <is>
          <t>SUR-1-PROD-FEED-06</t>
        </is>
      </c>
      <c r="B20" s="3" t="inlineStr">
        <is>
          <t>ANON-1-PROD-FEED-06</t>
        </is>
      </c>
      <c r="C20" s="3" t="inlineStr">
        <is>
          <t>UNIT-CS</t>
        </is>
      </c>
      <c r="D20" s="3" t="inlineStr">
        <is>
          <t>PROD-FEED</t>
        </is>
      </c>
      <c r="E20" s="3" t="inlineStr">
        <is>
          <t>AREA-A</t>
        </is>
      </c>
      <c r="F20" s="3" t="inlineStr">
        <is>
          <t>CSAT-5-V1</t>
        </is>
      </c>
      <c r="G20" s="3" t="inlineStr">
        <is>
          <t>2026-01-16T09:00:00+07:00</t>
        </is>
      </c>
      <c r="H20" s="2" t="n">
        <v>2</v>
      </c>
      <c r="I20" s="2" t="n">
        <v>4</v>
      </c>
      <c r="J20" s="2" t="n">
        <v>3</v>
      </c>
      <c r="K20" s="2" t="b">
        <v>1</v>
      </c>
      <c r="L20" s="3" t="n"/>
      <c r="M20" s="2" t="n">
        <v>1</v>
      </c>
      <c r="N20" s="2" t="n">
        <v>0</v>
      </c>
      <c r="O20" s="3" t="inlineStr">
        <is>
          <t>OPT_IN_SIMULATED</t>
        </is>
      </c>
      <c r="P20" s="3" t="inlineStr">
        <is>
          <t>2026-01-01</t>
        </is>
      </c>
      <c r="Q20" s="3" t="inlineStr">
        <is>
          <t>2026-01-31</t>
        </is>
      </c>
      <c r="R20" s="3" t="inlineStr">
        <is>
          <t>2026-03-03T09:00:00+07:00</t>
        </is>
      </c>
      <c r="S20" s="3" t="inlineStr">
        <is>
          <t>2026-03-03T09:00:00+07:00</t>
        </is>
      </c>
    </row>
    <row r="21">
      <c r="A21" s="3" t="inlineStr">
        <is>
          <t>SUR-1-PROD-FEED-07</t>
        </is>
      </c>
      <c r="B21" s="3" t="inlineStr">
        <is>
          <t>ANON-1-PROD-FEED-07</t>
        </is>
      </c>
      <c r="C21" s="3" t="inlineStr">
        <is>
          <t>UNIT-CS</t>
        </is>
      </c>
      <c r="D21" s="3" t="inlineStr">
        <is>
          <t>PROD-FEED</t>
        </is>
      </c>
      <c r="E21" s="3" t="inlineStr">
        <is>
          <t>AREA-A</t>
        </is>
      </c>
      <c r="F21" s="3" t="inlineStr">
        <is>
          <t>CSAT-5-V1</t>
        </is>
      </c>
      <c r="G21" s="3" t="inlineStr">
        <is>
          <t>2026-01-17T09:00:00+07:00</t>
        </is>
      </c>
      <c r="H21" s="2" t="n">
        <v>3</v>
      </c>
      <c r="I21" s="2" t="n">
        <v>4</v>
      </c>
      <c r="J21" s="2" t="n">
        <v>3</v>
      </c>
      <c r="K21" s="2" t="b">
        <v>1</v>
      </c>
      <c r="L21" s="3" t="n"/>
      <c r="M21" s="2" t="n">
        <v>1</v>
      </c>
      <c r="N21" s="2" t="n">
        <v>0</v>
      </c>
      <c r="O21" s="3" t="inlineStr">
        <is>
          <t>OPT_IN_SIMULATED</t>
        </is>
      </c>
      <c r="P21" s="3" t="inlineStr">
        <is>
          <t>2026-01-01</t>
        </is>
      </c>
      <c r="Q21" s="3" t="inlineStr">
        <is>
          <t>2026-01-31</t>
        </is>
      </c>
      <c r="R21" s="3" t="inlineStr">
        <is>
          <t>2026-03-03T09:00:00+07:00</t>
        </is>
      </c>
      <c r="S21" s="3" t="inlineStr">
        <is>
          <t>2026-03-03T09:00:00+07:00</t>
        </is>
      </c>
    </row>
    <row r="22">
      <c r="A22" s="3" t="inlineStr">
        <is>
          <t>SUR-1-PROD-FEED-08</t>
        </is>
      </c>
      <c r="B22" s="3" t="inlineStr">
        <is>
          <t>ANON-1-PROD-FEED-08</t>
        </is>
      </c>
      <c r="C22" s="3" t="inlineStr">
        <is>
          <t>UNIT-CS</t>
        </is>
      </c>
      <c r="D22" s="3" t="inlineStr">
        <is>
          <t>PROD-FEED</t>
        </is>
      </c>
      <c r="E22" s="3" t="inlineStr">
        <is>
          <t>AREA-A</t>
        </is>
      </c>
      <c r="F22" s="3" t="inlineStr">
        <is>
          <t>CSAT-5-V1</t>
        </is>
      </c>
      <c r="G22" s="3" t="inlineStr">
        <is>
          <t>2026-01-18T09:00:00+07:00</t>
        </is>
      </c>
      <c r="H22" s="2" t="n">
        <v>3</v>
      </c>
      <c r="I22" s="2" t="n">
        <v>4</v>
      </c>
      <c r="J22" s="2" t="n">
        <v>3</v>
      </c>
      <c r="K22" s="2" t="b">
        <v>1</v>
      </c>
      <c r="L22" s="3" t="n"/>
      <c r="M22" s="2" t="n">
        <v>1</v>
      </c>
      <c r="N22" s="2" t="n">
        <v>0</v>
      </c>
      <c r="O22" s="3" t="inlineStr">
        <is>
          <t>OPT_IN_SIMULATED</t>
        </is>
      </c>
      <c r="P22" s="3" t="inlineStr">
        <is>
          <t>2026-01-01</t>
        </is>
      </c>
      <c r="Q22" s="3" t="inlineStr">
        <is>
          <t>2026-01-31</t>
        </is>
      </c>
      <c r="R22" s="3" t="inlineStr">
        <is>
          <t>2026-03-03T09:00:00+07:00</t>
        </is>
      </c>
      <c r="S22" s="3" t="inlineStr">
        <is>
          <t>2026-03-03T09:00:00+07:00</t>
        </is>
      </c>
    </row>
    <row r="23">
      <c r="A23" s="3" t="inlineStr">
        <is>
          <t>SUR-1-PROD-FEED-09</t>
        </is>
      </c>
      <c r="B23" s="3" t="inlineStr">
        <is>
          <t>ANON-1-PROD-FEED-09</t>
        </is>
      </c>
      <c r="C23" s="3" t="inlineStr">
        <is>
          <t>UNIT-CS</t>
        </is>
      </c>
      <c r="D23" s="3" t="inlineStr">
        <is>
          <t>PROD-FEED</t>
        </is>
      </c>
      <c r="E23" s="3" t="inlineStr">
        <is>
          <t>AREA-A</t>
        </is>
      </c>
      <c r="F23" s="3" t="inlineStr">
        <is>
          <t>CSAT-5-V1</t>
        </is>
      </c>
      <c r="G23" s="3" t="inlineStr">
        <is>
          <t>2026-01-19T09:00:00+07:00</t>
        </is>
      </c>
      <c r="H23" s="2" t="n">
        <v>4</v>
      </c>
      <c r="I23" s="2" t="n">
        <v>4</v>
      </c>
      <c r="J23" s="2" t="n">
        <v>3</v>
      </c>
      <c r="K23" s="2" t="b">
        <v>1</v>
      </c>
      <c r="L23" s="3" t="n"/>
      <c r="M23" s="2" t="n">
        <v>1</v>
      </c>
      <c r="N23" s="2" t="n">
        <v>1</v>
      </c>
      <c r="O23" s="3" t="inlineStr">
        <is>
          <t>OPT_IN_SIMULATED</t>
        </is>
      </c>
      <c r="P23" s="3" t="inlineStr">
        <is>
          <t>2026-01-01</t>
        </is>
      </c>
      <c r="Q23" s="3" t="inlineStr">
        <is>
          <t>2026-01-31</t>
        </is>
      </c>
      <c r="R23" s="3" t="inlineStr">
        <is>
          <t>2026-03-03T09:00:00+07:00</t>
        </is>
      </c>
      <c r="S23" s="3" t="inlineStr">
        <is>
          <t>2026-03-03T09:00:00+07:00</t>
        </is>
      </c>
    </row>
    <row r="24">
      <c r="A24" s="3" t="inlineStr">
        <is>
          <t>SUR-1-PROD-FEED-10</t>
        </is>
      </c>
      <c r="B24" s="3" t="inlineStr">
        <is>
          <t>ANON-1-PROD-FEED-10</t>
        </is>
      </c>
      <c r="C24" s="3" t="inlineStr">
        <is>
          <t>UNIT-CS</t>
        </is>
      </c>
      <c r="D24" s="3" t="inlineStr">
        <is>
          <t>PROD-FEED</t>
        </is>
      </c>
      <c r="E24" s="3" t="inlineStr">
        <is>
          <t>AREA-A</t>
        </is>
      </c>
      <c r="F24" s="3" t="inlineStr">
        <is>
          <t>CSAT-5-V1</t>
        </is>
      </c>
      <c r="G24" s="3" t="inlineStr">
        <is>
          <t>2026-01-20T09:00:00+07:00</t>
        </is>
      </c>
      <c r="H24" s="2" t="n">
        <v>4</v>
      </c>
      <c r="I24" s="2" t="n">
        <v>4</v>
      </c>
      <c r="J24" s="2" t="n">
        <v>3</v>
      </c>
      <c r="K24" s="2" t="b">
        <v>1</v>
      </c>
      <c r="L24" s="3" t="n"/>
      <c r="M24" s="2" t="n">
        <v>1</v>
      </c>
      <c r="N24" s="2" t="n">
        <v>1</v>
      </c>
      <c r="O24" s="3" t="inlineStr">
        <is>
          <t>OPT_IN_SIMULATED</t>
        </is>
      </c>
      <c r="P24" s="3" t="inlineStr">
        <is>
          <t>2026-01-01</t>
        </is>
      </c>
      <c r="Q24" s="3" t="inlineStr">
        <is>
          <t>2026-01-31</t>
        </is>
      </c>
      <c r="R24" s="3" t="inlineStr">
        <is>
          <t>2026-03-03T09:00:00+07:00</t>
        </is>
      </c>
      <c r="S24" s="3" t="inlineStr">
        <is>
          <t>2026-03-03T09:00:00+07:00</t>
        </is>
      </c>
    </row>
    <row r="25">
      <c r="A25" s="3" t="inlineStr">
        <is>
          <t>SUR-1-PROD-FEED-11</t>
        </is>
      </c>
      <c r="B25" s="3" t="inlineStr">
        <is>
          <t>ANON-1-PROD-FEED-11</t>
        </is>
      </c>
      <c r="C25" s="3" t="inlineStr">
        <is>
          <t>UNIT-CS</t>
        </is>
      </c>
      <c r="D25" s="3" t="inlineStr">
        <is>
          <t>PROD-FEED</t>
        </is>
      </c>
      <c r="E25" s="3" t="inlineStr">
        <is>
          <t>AREA-A</t>
        </is>
      </c>
      <c r="F25" s="3" t="inlineStr">
        <is>
          <t>CSAT-5-V1</t>
        </is>
      </c>
      <c r="G25" s="3" t="inlineStr">
        <is>
          <t>2026-01-21T09:00:00+07:00</t>
        </is>
      </c>
      <c r="H25" s="2" t="n"/>
      <c r="I25" s="2" t="n"/>
      <c r="J25" s="2" t="n"/>
      <c r="K25" s="2" t="b">
        <v>0</v>
      </c>
      <c r="L25" s="3" t="inlineStr">
        <is>
          <t>INCOMPLETE</t>
        </is>
      </c>
      <c r="M25" s="2" t="n">
        <v>0</v>
      </c>
      <c r="N25" s="2" t="n">
        <v>0</v>
      </c>
      <c r="O25" s="3" t="inlineStr">
        <is>
          <t>OPT_IN_SIMULATED</t>
        </is>
      </c>
      <c r="P25" s="3" t="inlineStr">
        <is>
          <t>2026-01-01</t>
        </is>
      </c>
      <c r="Q25" s="3" t="inlineStr">
        <is>
          <t>2026-01-31</t>
        </is>
      </c>
      <c r="R25" s="3" t="inlineStr">
        <is>
          <t>2026-03-03T09:00:00+07:00</t>
        </is>
      </c>
      <c r="S25" s="3" t="inlineStr">
        <is>
          <t>2026-03-03T09:00:00+07:00</t>
        </is>
      </c>
    </row>
    <row r="26">
      <c r="A26" s="3" t="inlineStr">
        <is>
          <t>SUR-2-PROD-MILK-00</t>
        </is>
      </c>
      <c r="B26" s="3" t="inlineStr">
        <is>
          <t>ANON-2-PROD-MILK-00</t>
        </is>
      </c>
      <c r="C26" s="3" t="inlineStr">
        <is>
          <t>UNIT-CS</t>
        </is>
      </c>
      <c r="D26" s="3" t="inlineStr">
        <is>
          <t>PROD-MILK</t>
        </is>
      </c>
      <c r="E26" s="3" t="inlineStr">
        <is>
          <t>AREA-A</t>
        </is>
      </c>
      <c r="F26" s="3" t="inlineStr">
        <is>
          <t>CSAT-5-V1</t>
        </is>
      </c>
      <c r="G26" s="3" t="inlineStr">
        <is>
          <t>2026-02-10T09:00:00+07:00</t>
        </is>
      </c>
      <c r="H26" s="2" t="n">
        <v>3</v>
      </c>
      <c r="I26" s="2" t="n">
        <v>4</v>
      </c>
      <c r="J26" s="2" t="n">
        <v>3</v>
      </c>
      <c r="K26" s="2" t="b">
        <v>1</v>
      </c>
      <c r="L26" s="3" t="n"/>
      <c r="M26" s="2" t="n">
        <v>1</v>
      </c>
      <c r="N26" s="2" t="n">
        <v>0</v>
      </c>
      <c r="O26" s="3" t="inlineStr">
        <is>
          <t>OPT_IN_SIMULATED</t>
        </is>
      </c>
      <c r="P26" s="3" t="inlineStr">
        <is>
          <t>2026-02-01</t>
        </is>
      </c>
      <c r="Q26" s="3" t="inlineStr">
        <is>
          <t>2026-02-28</t>
        </is>
      </c>
      <c r="R26" s="3" t="inlineStr">
        <is>
          <t>2026-03-03T09:00:00+07:00</t>
        </is>
      </c>
      <c r="S26" s="3" t="inlineStr">
        <is>
          <t>2026-03-03T09:00:00+07:00</t>
        </is>
      </c>
    </row>
    <row r="27">
      <c r="A27" s="3" t="inlineStr">
        <is>
          <t>SUR-2-PROD-MILK-01</t>
        </is>
      </c>
      <c r="B27" s="3" t="inlineStr">
        <is>
          <t>ANON-2-PROD-MILK-01</t>
        </is>
      </c>
      <c r="C27" s="3" t="inlineStr">
        <is>
          <t>UNIT-CS</t>
        </is>
      </c>
      <c r="D27" s="3" t="inlineStr">
        <is>
          <t>PROD-MILK</t>
        </is>
      </c>
      <c r="E27" s="3" t="inlineStr">
        <is>
          <t>AREA-A</t>
        </is>
      </c>
      <c r="F27" s="3" t="inlineStr">
        <is>
          <t>CSAT-5-V1</t>
        </is>
      </c>
      <c r="G27" s="3" t="inlineStr">
        <is>
          <t>2026-02-11T09:00:00+07:00</t>
        </is>
      </c>
      <c r="H27" s="2" t="n">
        <v>4</v>
      </c>
      <c r="I27" s="2" t="n">
        <v>4</v>
      </c>
      <c r="J27" s="2" t="n">
        <v>3</v>
      </c>
      <c r="K27" s="2" t="b">
        <v>1</v>
      </c>
      <c r="L27" s="3" t="n"/>
      <c r="M27" s="2" t="n">
        <v>1</v>
      </c>
      <c r="N27" s="2" t="n">
        <v>1</v>
      </c>
      <c r="O27" s="3" t="inlineStr">
        <is>
          <t>OPT_IN_SIMULATED</t>
        </is>
      </c>
      <c r="P27" s="3" t="inlineStr">
        <is>
          <t>2026-02-01</t>
        </is>
      </c>
      <c r="Q27" s="3" t="inlineStr">
        <is>
          <t>2026-02-28</t>
        </is>
      </c>
      <c r="R27" s="3" t="inlineStr">
        <is>
          <t>2026-03-03T09:00:00+07:00</t>
        </is>
      </c>
      <c r="S27" s="3" t="inlineStr">
        <is>
          <t>2026-03-03T09:00:00+07:00</t>
        </is>
      </c>
    </row>
    <row r="28">
      <c r="A28" s="3" t="inlineStr">
        <is>
          <t>SUR-2-PROD-MILK-02</t>
        </is>
      </c>
      <c r="B28" s="3" t="inlineStr">
        <is>
          <t>ANON-2-PROD-MILK-02</t>
        </is>
      </c>
      <c r="C28" s="3" t="inlineStr">
        <is>
          <t>UNIT-CS</t>
        </is>
      </c>
      <c r="D28" s="3" t="inlineStr">
        <is>
          <t>PROD-MILK</t>
        </is>
      </c>
      <c r="E28" s="3" t="inlineStr">
        <is>
          <t>AREA-A</t>
        </is>
      </c>
      <c r="F28" s="3" t="inlineStr">
        <is>
          <t>CSAT-5-V1</t>
        </is>
      </c>
      <c r="G28" s="3" t="inlineStr">
        <is>
          <t>2026-02-12T09:00:00+07:00</t>
        </is>
      </c>
      <c r="H28" s="2" t="n">
        <v>4</v>
      </c>
      <c r="I28" s="2" t="n">
        <v>4</v>
      </c>
      <c r="J28" s="2" t="n">
        <v>3</v>
      </c>
      <c r="K28" s="2" t="b">
        <v>1</v>
      </c>
      <c r="L28" s="3" t="n"/>
      <c r="M28" s="2" t="n">
        <v>1</v>
      </c>
      <c r="N28" s="2" t="n">
        <v>1</v>
      </c>
      <c r="O28" s="3" t="inlineStr">
        <is>
          <t>OPT_IN_SIMULATED</t>
        </is>
      </c>
      <c r="P28" s="3" t="inlineStr">
        <is>
          <t>2026-02-01</t>
        </is>
      </c>
      <c r="Q28" s="3" t="inlineStr">
        <is>
          <t>2026-02-28</t>
        </is>
      </c>
      <c r="R28" s="3" t="inlineStr">
        <is>
          <t>2026-03-03T09:00:00+07:00</t>
        </is>
      </c>
      <c r="S28" s="3" t="inlineStr">
        <is>
          <t>2026-03-03T09:00:00+07:00</t>
        </is>
      </c>
    </row>
    <row r="29">
      <c r="A29" s="3" t="inlineStr">
        <is>
          <t>SUR-2-PROD-MILK-03</t>
        </is>
      </c>
      <c r="B29" s="3" t="inlineStr">
        <is>
          <t>ANON-2-PROD-MILK-03</t>
        </is>
      </c>
      <c r="C29" s="3" t="inlineStr">
        <is>
          <t>UNIT-CS</t>
        </is>
      </c>
      <c r="D29" s="3" t="inlineStr">
        <is>
          <t>PROD-MILK</t>
        </is>
      </c>
      <c r="E29" s="3" t="inlineStr">
        <is>
          <t>AREA-A</t>
        </is>
      </c>
      <c r="F29" s="3" t="inlineStr">
        <is>
          <t>CSAT-5-V1</t>
        </is>
      </c>
      <c r="G29" s="3" t="inlineStr">
        <is>
          <t>2026-02-13T09:00:00+07:00</t>
        </is>
      </c>
      <c r="H29" s="2" t="n">
        <v>4</v>
      </c>
      <c r="I29" s="2" t="n">
        <v>4</v>
      </c>
      <c r="J29" s="2" t="n">
        <v>3</v>
      </c>
      <c r="K29" s="2" t="b">
        <v>1</v>
      </c>
      <c r="L29" s="3" t="n"/>
      <c r="M29" s="2" t="n">
        <v>1</v>
      </c>
      <c r="N29" s="2" t="n">
        <v>1</v>
      </c>
      <c r="O29" s="3" t="inlineStr">
        <is>
          <t>OPT_IN_SIMULATED</t>
        </is>
      </c>
      <c r="P29" s="3" t="inlineStr">
        <is>
          <t>2026-02-01</t>
        </is>
      </c>
      <c r="Q29" s="3" t="inlineStr">
        <is>
          <t>2026-02-28</t>
        </is>
      </c>
      <c r="R29" s="3" t="inlineStr">
        <is>
          <t>2026-03-03T09:00:00+07:00</t>
        </is>
      </c>
      <c r="S29" s="3" t="inlineStr">
        <is>
          <t>2026-03-03T09:00:00+07:00</t>
        </is>
      </c>
    </row>
    <row r="30">
      <c r="A30" s="3" t="inlineStr">
        <is>
          <t>SUR-2-PROD-MILK-04</t>
        </is>
      </c>
      <c r="B30" s="3" t="inlineStr">
        <is>
          <t>ANON-2-PROD-MILK-04</t>
        </is>
      </c>
      <c r="C30" s="3" t="inlineStr">
        <is>
          <t>UNIT-CS</t>
        </is>
      </c>
      <c r="D30" s="3" t="inlineStr">
        <is>
          <t>PROD-MILK</t>
        </is>
      </c>
      <c r="E30" s="3" t="inlineStr">
        <is>
          <t>AREA-A</t>
        </is>
      </c>
      <c r="F30" s="3" t="inlineStr">
        <is>
          <t>CSAT-5-V1</t>
        </is>
      </c>
      <c r="G30" s="3" t="inlineStr">
        <is>
          <t>2026-02-14T09:00:00+07:00</t>
        </is>
      </c>
      <c r="H30" s="2" t="n">
        <v>5</v>
      </c>
      <c r="I30" s="2" t="n">
        <v>4</v>
      </c>
      <c r="J30" s="2" t="n">
        <v>3</v>
      </c>
      <c r="K30" s="2" t="b">
        <v>1</v>
      </c>
      <c r="L30" s="3" t="n"/>
      <c r="M30" s="2" t="n">
        <v>1</v>
      </c>
      <c r="N30" s="2" t="n">
        <v>1</v>
      </c>
      <c r="O30" s="3" t="inlineStr">
        <is>
          <t>OPT_IN_SIMULATED</t>
        </is>
      </c>
      <c r="P30" s="3" t="inlineStr">
        <is>
          <t>2026-02-01</t>
        </is>
      </c>
      <c r="Q30" s="3" t="inlineStr">
        <is>
          <t>2026-02-28</t>
        </is>
      </c>
      <c r="R30" s="3" t="inlineStr">
        <is>
          <t>2026-03-03T09:00:00+07:00</t>
        </is>
      </c>
      <c r="S30" s="3" t="inlineStr">
        <is>
          <t>2026-03-03T09:00:00+07:00</t>
        </is>
      </c>
    </row>
    <row r="31">
      <c r="A31" s="3" t="inlineStr">
        <is>
          <t>SUR-2-PROD-MILK-05</t>
        </is>
      </c>
      <c r="B31" s="3" t="inlineStr">
        <is>
          <t>ANON-2-PROD-MILK-05</t>
        </is>
      </c>
      <c r="C31" s="3" t="inlineStr">
        <is>
          <t>UNIT-CS</t>
        </is>
      </c>
      <c r="D31" s="3" t="inlineStr">
        <is>
          <t>PROD-MILK</t>
        </is>
      </c>
      <c r="E31" s="3" t="inlineStr">
        <is>
          <t>AREA-A</t>
        </is>
      </c>
      <c r="F31" s="3" t="inlineStr">
        <is>
          <t>CSAT-5-V1</t>
        </is>
      </c>
      <c r="G31" s="3" t="inlineStr">
        <is>
          <t>2026-02-15T09:00:00+07:00</t>
        </is>
      </c>
      <c r="H31" s="2" t="n">
        <v>5</v>
      </c>
      <c r="I31" s="2" t="n">
        <v>4</v>
      </c>
      <c r="J31" s="2" t="n">
        <v>3</v>
      </c>
      <c r="K31" s="2" t="b">
        <v>1</v>
      </c>
      <c r="L31" s="3" t="n"/>
      <c r="M31" s="2" t="n">
        <v>1</v>
      </c>
      <c r="N31" s="2" t="n">
        <v>1</v>
      </c>
      <c r="O31" s="3" t="inlineStr">
        <is>
          <t>OPT_IN_SIMULATED</t>
        </is>
      </c>
      <c r="P31" s="3" t="inlineStr">
        <is>
          <t>2026-02-01</t>
        </is>
      </c>
      <c r="Q31" s="3" t="inlineStr">
        <is>
          <t>2026-02-28</t>
        </is>
      </c>
      <c r="R31" s="3" t="inlineStr">
        <is>
          <t>2026-03-03T09:00:00+07:00</t>
        </is>
      </c>
      <c r="S31" s="3" t="inlineStr">
        <is>
          <t>2026-03-03T09:00:00+07:00</t>
        </is>
      </c>
    </row>
    <row r="32">
      <c r="A32" s="3" t="inlineStr">
        <is>
          <t>SUR-2-PROD-MILK-06</t>
        </is>
      </c>
      <c r="B32" s="3" t="inlineStr">
        <is>
          <t>ANON-2-PROD-MILK-06</t>
        </is>
      </c>
      <c r="C32" s="3" t="inlineStr">
        <is>
          <t>UNIT-CS</t>
        </is>
      </c>
      <c r="D32" s="3" t="inlineStr">
        <is>
          <t>PROD-MILK</t>
        </is>
      </c>
      <c r="E32" s="3" t="inlineStr">
        <is>
          <t>AREA-A</t>
        </is>
      </c>
      <c r="F32" s="3" t="inlineStr">
        <is>
          <t>CSAT-5-V1</t>
        </is>
      </c>
      <c r="G32" s="3" t="inlineStr">
        <is>
          <t>2026-02-16T09:00:00+07:00</t>
        </is>
      </c>
      <c r="H32" s="2" t="n">
        <v>3</v>
      </c>
      <c r="I32" s="2" t="n">
        <v>4</v>
      </c>
      <c r="J32" s="2" t="n">
        <v>3</v>
      </c>
      <c r="K32" s="2" t="b">
        <v>1</v>
      </c>
      <c r="L32" s="3" t="n"/>
      <c r="M32" s="2" t="n">
        <v>1</v>
      </c>
      <c r="N32" s="2" t="n">
        <v>0</v>
      </c>
      <c r="O32" s="3" t="inlineStr">
        <is>
          <t>OPT_IN_SIMULATED</t>
        </is>
      </c>
      <c r="P32" s="3" t="inlineStr">
        <is>
          <t>2026-02-01</t>
        </is>
      </c>
      <c r="Q32" s="3" t="inlineStr">
        <is>
          <t>2026-02-28</t>
        </is>
      </c>
      <c r="R32" s="3" t="inlineStr">
        <is>
          <t>2026-03-03T09:00:00+07:00</t>
        </is>
      </c>
      <c r="S32" s="3" t="inlineStr">
        <is>
          <t>2026-03-03T09:00:00+07:00</t>
        </is>
      </c>
    </row>
    <row r="33">
      <c r="A33" s="3" t="inlineStr">
        <is>
          <t>SUR-2-PROD-MILK-07</t>
        </is>
      </c>
      <c r="B33" s="3" t="inlineStr">
        <is>
          <t>ANON-2-PROD-MILK-07</t>
        </is>
      </c>
      <c r="C33" s="3" t="inlineStr">
        <is>
          <t>UNIT-CS</t>
        </is>
      </c>
      <c r="D33" s="3" t="inlineStr">
        <is>
          <t>PROD-MILK</t>
        </is>
      </c>
      <c r="E33" s="3" t="inlineStr">
        <is>
          <t>AREA-A</t>
        </is>
      </c>
      <c r="F33" s="3" t="inlineStr">
        <is>
          <t>CSAT-5-V1</t>
        </is>
      </c>
      <c r="G33" s="3" t="inlineStr">
        <is>
          <t>2026-02-17T09:00:00+07:00</t>
        </is>
      </c>
      <c r="H33" s="2" t="n">
        <v>4</v>
      </c>
      <c r="I33" s="2" t="n">
        <v>4</v>
      </c>
      <c r="J33" s="2" t="n">
        <v>3</v>
      </c>
      <c r="K33" s="2" t="b">
        <v>1</v>
      </c>
      <c r="L33" s="3" t="n"/>
      <c r="M33" s="2" t="n">
        <v>1</v>
      </c>
      <c r="N33" s="2" t="n">
        <v>1</v>
      </c>
      <c r="O33" s="3" t="inlineStr">
        <is>
          <t>OPT_IN_SIMULATED</t>
        </is>
      </c>
      <c r="P33" s="3" t="inlineStr">
        <is>
          <t>2026-02-01</t>
        </is>
      </c>
      <c r="Q33" s="3" t="inlineStr">
        <is>
          <t>2026-02-28</t>
        </is>
      </c>
      <c r="R33" s="3" t="inlineStr">
        <is>
          <t>2026-03-03T09:00:00+07:00</t>
        </is>
      </c>
      <c r="S33" s="3" t="inlineStr">
        <is>
          <t>2026-03-03T09:00:00+07:00</t>
        </is>
      </c>
    </row>
    <row r="34">
      <c r="A34" s="3" t="inlineStr">
        <is>
          <t>SUR-2-PROD-MILK-08</t>
        </is>
      </c>
      <c r="B34" s="3" t="inlineStr">
        <is>
          <t>ANON-2-PROD-MILK-08</t>
        </is>
      </c>
      <c r="C34" s="3" t="inlineStr">
        <is>
          <t>UNIT-CS</t>
        </is>
      </c>
      <c r="D34" s="3" t="inlineStr">
        <is>
          <t>PROD-MILK</t>
        </is>
      </c>
      <c r="E34" s="3" t="inlineStr">
        <is>
          <t>AREA-A</t>
        </is>
      </c>
      <c r="F34" s="3" t="inlineStr">
        <is>
          <t>CSAT-5-V1</t>
        </is>
      </c>
      <c r="G34" s="3" t="inlineStr">
        <is>
          <t>2026-02-18T09:00:00+07:00</t>
        </is>
      </c>
      <c r="H34" s="2" t="n">
        <v>4</v>
      </c>
      <c r="I34" s="2" t="n">
        <v>4</v>
      </c>
      <c r="J34" s="2" t="n">
        <v>3</v>
      </c>
      <c r="K34" s="2" t="b">
        <v>1</v>
      </c>
      <c r="L34" s="3" t="n"/>
      <c r="M34" s="2" t="n">
        <v>1</v>
      </c>
      <c r="N34" s="2" t="n">
        <v>1</v>
      </c>
      <c r="O34" s="3" t="inlineStr">
        <is>
          <t>OPT_IN_SIMULATED</t>
        </is>
      </c>
      <c r="P34" s="3" t="inlineStr">
        <is>
          <t>2026-02-01</t>
        </is>
      </c>
      <c r="Q34" s="3" t="inlineStr">
        <is>
          <t>2026-02-28</t>
        </is>
      </c>
      <c r="R34" s="3" t="inlineStr">
        <is>
          <t>2026-03-03T09:00:00+07:00</t>
        </is>
      </c>
      <c r="S34" s="3" t="inlineStr">
        <is>
          <t>2026-03-03T09:00:00+07:00</t>
        </is>
      </c>
    </row>
    <row r="35">
      <c r="A35" s="3" t="inlineStr">
        <is>
          <t>SUR-2-PROD-MILK-09</t>
        </is>
      </c>
      <c r="B35" s="3" t="inlineStr">
        <is>
          <t>ANON-2-PROD-MILK-09</t>
        </is>
      </c>
      <c r="C35" s="3" t="inlineStr">
        <is>
          <t>UNIT-CS</t>
        </is>
      </c>
      <c r="D35" s="3" t="inlineStr">
        <is>
          <t>PROD-MILK</t>
        </is>
      </c>
      <c r="E35" s="3" t="inlineStr">
        <is>
          <t>AREA-A</t>
        </is>
      </c>
      <c r="F35" s="3" t="inlineStr">
        <is>
          <t>CSAT-5-V1</t>
        </is>
      </c>
      <c r="G35" s="3" t="inlineStr">
        <is>
          <t>2026-02-19T09:00:00+07:00</t>
        </is>
      </c>
      <c r="H35" s="2" t="n">
        <v>4</v>
      </c>
      <c r="I35" s="2" t="n">
        <v>4</v>
      </c>
      <c r="J35" s="2" t="n">
        <v>3</v>
      </c>
      <c r="K35" s="2" t="b">
        <v>1</v>
      </c>
      <c r="L35" s="3" t="n"/>
      <c r="M35" s="2" t="n">
        <v>1</v>
      </c>
      <c r="N35" s="2" t="n">
        <v>1</v>
      </c>
      <c r="O35" s="3" t="inlineStr">
        <is>
          <t>OPT_IN_SIMULATED</t>
        </is>
      </c>
      <c r="P35" s="3" t="inlineStr">
        <is>
          <t>2026-02-01</t>
        </is>
      </c>
      <c r="Q35" s="3" t="inlineStr">
        <is>
          <t>2026-02-28</t>
        </is>
      </c>
      <c r="R35" s="3" t="inlineStr">
        <is>
          <t>2026-03-03T09:00:00+07:00</t>
        </is>
      </c>
      <c r="S35" s="3" t="inlineStr">
        <is>
          <t>2026-03-03T09:00:00+07:00</t>
        </is>
      </c>
    </row>
    <row r="36">
      <c r="A36" s="3" t="inlineStr">
        <is>
          <t>SUR-2-PROD-MILK-10</t>
        </is>
      </c>
      <c r="B36" s="3" t="inlineStr">
        <is>
          <t>ANON-2-PROD-MILK-10</t>
        </is>
      </c>
      <c r="C36" s="3" t="inlineStr">
        <is>
          <t>UNIT-CS</t>
        </is>
      </c>
      <c r="D36" s="3" t="inlineStr">
        <is>
          <t>PROD-MILK</t>
        </is>
      </c>
      <c r="E36" s="3" t="inlineStr">
        <is>
          <t>AREA-A</t>
        </is>
      </c>
      <c r="F36" s="3" t="inlineStr">
        <is>
          <t>CSAT-5-V1</t>
        </is>
      </c>
      <c r="G36" s="3" t="inlineStr">
        <is>
          <t>2026-02-20T09:00:00+07:00</t>
        </is>
      </c>
      <c r="H36" s="2" t="n">
        <v>5</v>
      </c>
      <c r="I36" s="2" t="n">
        <v>4</v>
      </c>
      <c r="J36" s="2" t="n">
        <v>3</v>
      </c>
      <c r="K36" s="2" t="b">
        <v>1</v>
      </c>
      <c r="L36" s="3" t="n"/>
      <c r="M36" s="2" t="n">
        <v>1</v>
      </c>
      <c r="N36" s="2" t="n">
        <v>1</v>
      </c>
      <c r="O36" s="3" t="inlineStr">
        <is>
          <t>OPT_IN_SIMULATED</t>
        </is>
      </c>
      <c r="P36" s="3" t="inlineStr">
        <is>
          <t>2026-02-01</t>
        </is>
      </c>
      <c r="Q36" s="3" t="inlineStr">
        <is>
          <t>2026-02-28</t>
        </is>
      </c>
      <c r="R36" s="3" t="inlineStr">
        <is>
          <t>2026-03-03T09:00:00+07:00</t>
        </is>
      </c>
      <c r="S36" s="3" t="inlineStr">
        <is>
          <t>2026-03-03T09:00:00+07:00</t>
        </is>
      </c>
    </row>
    <row r="37">
      <c r="A37" s="3" t="inlineStr">
        <is>
          <t>SUR-2-PROD-MILK-11</t>
        </is>
      </c>
      <c r="B37" s="3" t="inlineStr">
        <is>
          <t>ANON-2-PROD-MILK-11</t>
        </is>
      </c>
      <c r="C37" s="3" t="inlineStr">
        <is>
          <t>UNIT-CS</t>
        </is>
      </c>
      <c r="D37" s="3" t="inlineStr">
        <is>
          <t>PROD-MILK</t>
        </is>
      </c>
      <c r="E37" s="3" t="inlineStr">
        <is>
          <t>AREA-A</t>
        </is>
      </c>
      <c r="F37" s="3" t="inlineStr">
        <is>
          <t>CSAT-5-V1</t>
        </is>
      </c>
      <c r="G37" s="3" t="inlineStr">
        <is>
          <t>2026-02-21T09:00:00+07:00</t>
        </is>
      </c>
      <c r="H37" s="2" t="n"/>
      <c r="I37" s="2" t="n"/>
      <c r="J37" s="2" t="n"/>
      <c r="K37" s="2" t="b">
        <v>0</v>
      </c>
      <c r="L37" s="3" t="inlineStr">
        <is>
          <t>INCOMPLETE</t>
        </is>
      </c>
      <c r="M37" s="2" t="n">
        <v>0</v>
      </c>
      <c r="N37" s="2" t="n">
        <v>0</v>
      </c>
      <c r="O37" s="3" t="inlineStr">
        <is>
          <t>OPT_IN_SIMULATED</t>
        </is>
      </c>
      <c r="P37" s="3" t="inlineStr">
        <is>
          <t>2026-02-01</t>
        </is>
      </c>
      <c r="Q37" s="3" t="inlineStr">
        <is>
          <t>2026-02-28</t>
        </is>
      </c>
      <c r="R37" s="3" t="inlineStr">
        <is>
          <t>2026-03-03T09:00:00+07:00</t>
        </is>
      </c>
      <c r="S37" s="3" t="inlineStr">
        <is>
          <t>2026-03-03T09:00:00+07:00</t>
        </is>
      </c>
    </row>
    <row r="38">
      <c r="A38" s="3" t="inlineStr">
        <is>
          <t>SUR-2-PROD-FEED-00</t>
        </is>
      </c>
      <c r="B38" s="3" t="inlineStr">
        <is>
          <t>ANON-2-PROD-FEED-00</t>
        </is>
      </c>
      <c r="C38" s="3" t="inlineStr">
        <is>
          <t>UNIT-CS</t>
        </is>
      </c>
      <c r="D38" s="3" t="inlineStr">
        <is>
          <t>PROD-FEED</t>
        </is>
      </c>
      <c r="E38" s="3" t="inlineStr">
        <is>
          <t>AREA-A</t>
        </is>
      </c>
      <c r="F38" s="3" t="inlineStr">
        <is>
          <t>CSAT-5-V1</t>
        </is>
      </c>
      <c r="G38" s="3" t="inlineStr">
        <is>
          <t>2026-02-10T09:00:00+07:00</t>
        </is>
      </c>
      <c r="H38" s="2" t="n">
        <v>3</v>
      </c>
      <c r="I38" s="2" t="n">
        <v>4</v>
      </c>
      <c r="J38" s="2" t="n">
        <v>3</v>
      </c>
      <c r="K38" s="2" t="b">
        <v>1</v>
      </c>
      <c r="L38" s="3" t="n"/>
      <c r="M38" s="2" t="n">
        <v>1</v>
      </c>
      <c r="N38" s="2" t="n">
        <v>0</v>
      </c>
      <c r="O38" s="3" t="inlineStr">
        <is>
          <t>OPT_IN_SIMULATED</t>
        </is>
      </c>
      <c r="P38" s="3" t="inlineStr">
        <is>
          <t>2026-02-01</t>
        </is>
      </c>
      <c r="Q38" s="3" t="inlineStr">
        <is>
          <t>2026-02-28</t>
        </is>
      </c>
      <c r="R38" s="3" t="inlineStr">
        <is>
          <t>2026-03-03T09:00:00+07:00</t>
        </is>
      </c>
      <c r="S38" s="3" t="inlineStr">
        <is>
          <t>2026-03-03T09:00:00+07:00</t>
        </is>
      </c>
    </row>
    <row r="39">
      <c r="A39" s="3" t="inlineStr">
        <is>
          <t>SUR-2-PROD-FEED-01</t>
        </is>
      </c>
      <c r="B39" s="3" t="inlineStr">
        <is>
          <t>ANON-2-PROD-FEED-01</t>
        </is>
      </c>
      <c r="C39" s="3" t="inlineStr">
        <is>
          <t>UNIT-CS</t>
        </is>
      </c>
      <c r="D39" s="3" t="inlineStr">
        <is>
          <t>PROD-FEED</t>
        </is>
      </c>
      <c r="E39" s="3" t="inlineStr">
        <is>
          <t>AREA-A</t>
        </is>
      </c>
      <c r="F39" s="3" t="inlineStr">
        <is>
          <t>CSAT-5-V1</t>
        </is>
      </c>
      <c r="G39" s="3" t="inlineStr">
        <is>
          <t>2026-02-11T09:00:00+07:00</t>
        </is>
      </c>
      <c r="H39" s="2" t="n">
        <v>4</v>
      </c>
      <c r="I39" s="2" t="n">
        <v>4</v>
      </c>
      <c r="J39" s="2" t="n">
        <v>3</v>
      </c>
      <c r="K39" s="2" t="b">
        <v>1</v>
      </c>
      <c r="L39" s="3" t="n"/>
      <c r="M39" s="2" t="n">
        <v>1</v>
      </c>
      <c r="N39" s="2" t="n">
        <v>1</v>
      </c>
      <c r="O39" s="3" t="inlineStr">
        <is>
          <t>OPT_IN_SIMULATED</t>
        </is>
      </c>
      <c r="P39" s="3" t="inlineStr">
        <is>
          <t>2026-02-01</t>
        </is>
      </c>
      <c r="Q39" s="3" t="inlineStr">
        <is>
          <t>2026-02-28</t>
        </is>
      </c>
      <c r="R39" s="3" t="inlineStr">
        <is>
          <t>2026-03-03T09:00:00+07:00</t>
        </is>
      </c>
      <c r="S39" s="3" t="inlineStr">
        <is>
          <t>2026-03-03T09:00:00+07:00</t>
        </is>
      </c>
    </row>
    <row r="40">
      <c r="A40" s="3" t="inlineStr">
        <is>
          <t>SUR-2-PROD-FEED-02</t>
        </is>
      </c>
      <c r="B40" s="3" t="inlineStr">
        <is>
          <t>ANON-2-PROD-FEED-02</t>
        </is>
      </c>
      <c r="C40" s="3" t="inlineStr">
        <is>
          <t>UNIT-CS</t>
        </is>
      </c>
      <c r="D40" s="3" t="inlineStr">
        <is>
          <t>PROD-FEED</t>
        </is>
      </c>
      <c r="E40" s="3" t="inlineStr">
        <is>
          <t>AREA-A</t>
        </is>
      </c>
      <c r="F40" s="3" t="inlineStr">
        <is>
          <t>CSAT-5-V1</t>
        </is>
      </c>
      <c r="G40" s="3" t="inlineStr">
        <is>
          <t>2026-02-12T09:00:00+07:00</t>
        </is>
      </c>
      <c r="H40" s="2" t="n">
        <v>4</v>
      </c>
      <c r="I40" s="2" t="n">
        <v>4</v>
      </c>
      <c r="J40" s="2" t="n">
        <v>3</v>
      </c>
      <c r="K40" s="2" t="b">
        <v>1</v>
      </c>
      <c r="L40" s="3" t="n"/>
      <c r="M40" s="2" t="n">
        <v>1</v>
      </c>
      <c r="N40" s="2" t="n">
        <v>1</v>
      </c>
      <c r="O40" s="3" t="inlineStr">
        <is>
          <t>OPT_IN_SIMULATED</t>
        </is>
      </c>
      <c r="P40" s="3" t="inlineStr">
        <is>
          <t>2026-02-01</t>
        </is>
      </c>
      <c r="Q40" s="3" t="inlineStr">
        <is>
          <t>2026-02-28</t>
        </is>
      </c>
      <c r="R40" s="3" t="inlineStr">
        <is>
          <t>2026-03-03T09:00:00+07:00</t>
        </is>
      </c>
      <c r="S40" s="3" t="inlineStr">
        <is>
          <t>2026-03-03T09:00:00+07:00</t>
        </is>
      </c>
    </row>
    <row r="41">
      <c r="A41" s="3" t="inlineStr">
        <is>
          <t>SUR-2-PROD-FEED-03</t>
        </is>
      </c>
      <c r="B41" s="3" t="inlineStr">
        <is>
          <t>ANON-2-PROD-FEED-03</t>
        </is>
      </c>
      <c r="C41" s="3" t="inlineStr">
        <is>
          <t>UNIT-CS</t>
        </is>
      </c>
      <c r="D41" s="3" t="inlineStr">
        <is>
          <t>PROD-FEED</t>
        </is>
      </c>
      <c r="E41" s="3" t="inlineStr">
        <is>
          <t>AREA-A</t>
        </is>
      </c>
      <c r="F41" s="3" t="inlineStr">
        <is>
          <t>CSAT-5-V1</t>
        </is>
      </c>
      <c r="G41" s="3" t="inlineStr">
        <is>
          <t>2026-02-13T09:00:00+07:00</t>
        </is>
      </c>
      <c r="H41" s="2" t="n">
        <v>4</v>
      </c>
      <c r="I41" s="2" t="n">
        <v>4</v>
      </c>
      <c r="J41" s="2" t="n">
        <v>3</v>
      </c>
      <c r="K41" s="2" t="b">
        <v>1</v>
      </c>
      <c r="L41" s="3" t="n"/>
      <c r="M41" s="2" t="n">
        <v>1</v>
      </c>
      <c r="N41" s="2" t="n">
        <v>1</v>
      </c>
      <c r="O41" s="3" t="inlineStr">
        <is>
          <t>OPT_IN_SIMULATED</t>
        </is>
      </c>
      <c r="P41" s="3" t="inlineStr">
        <is>
          <t>2026-02-01</t>
        </is>
      </c>
      <c r="Q41" s="3" t="inlineStr">
        <is>
          <t>2026-02-28</t>
        </is>
      </c>
      <c r="R41" s="3" t="inlineStr">
        <is>
          <t>2026-03-03T09:00:00+07:00</t>
        </is>
      </c>
      <c r="S41" s="3" t="inlineStr">
        <is>
          <t>2026-03-03T09:00:00+07:00</t>
        </is>
      </c>
    </row>
    <row r="42">
      <c r="A42" s="3" t="inlineStr">
        <is>
          <t>SUR-2-PROD-FEED-04</t>
        </is>
      </c>
      <c r="B42" s="3" t="inlineStr">
        <is>
          <t>ANON-2-PROD-FEED-04</t>
        </is>
      </c>
      <c r="C42" s="3" t="inlineStr">
        <is>
          <t>UNIT-CS</t>
        </is>
      </c>
      <c r="D42" s="3" t="inlineStr">
        <is>
          <t>PROD-FEED</t>
        </is>
      </c>
      <c r="E42" s="3" t="inlineStr">
        <is>
          <t>AREA-A</t>
        </is>
      </c>
      <c r="F42" s="3" t="inlineStr">
        <is>
          <t>CSAT-5-V1</t>
        </is>
      </c>
      <c r="G42" s="3" t="inlineStr">
        <is>
          <t>2026-02-14T09:00:00+07:00</t>
        </is>
      </c>
      <c r="H42" s="2" t="n">
        <v>5</v>
      </c>
      <c r="I42" s="2" t="n">
        <v>4</v>
      </c>
      <c r="J42" s="2" t="n">
        <v>3</v>
      </c>
      <c r="K42" s="2" t="b">
        <v>1</v>
      </c>
      <c r="L42" s="3" t="n"/>
      <c r="M42" s="2" t="n">
        <v>1</v>
      </c>
      <c r="N42" s="2" t="n">
        <v>1</v>
      </c>
      <c r="O42" s="3" t="inlineStr">
        <is>
          <t>OPT_IN_SIMULATED</t>
        </is>
      </c>
      <c r="P42" s="3" t="inlineStr">
        <is>
          <t>2026-02-01</t>
        </is>
      </c>
      <c r="Q42" s="3" t="inlineStr">
        <is>
          <t>2026-02-28</t>
        </is>
      </c>
      <c r="R42" s="3" t="inlineStr">
        <is>
          <t>2026-03-03T09:00:00+07:00</t>
        </is>
      </c>
      <c r="S42" s="3" t="inlineStr">
        <is>
          <t>2026-03-03T09:00:00+07:00</t>
        </is>
      </c>
    </row>
    <row r="43">
      <c r="A43" s="3" t="inlineStr">
        <is>
          <t>SUR-2-PROD-FEED-05</t>
        </is>
      </c>
      <c r="B43" s="3" t="inlineStr">
        <is>
          <t>ANON-2-PROD-FEED-05</t>
        </is>
      </c>
      <c r="C43" s="3" t="inlineStr">
        <is>
          <t>UNIT-CS</t>
        </is>
      </c>
      <c r="D43" s="3" t="inlineStr">
        <is>
          <t>PROD-FEED</t>
        </is>
      </c>
      <c r="E43" s="3" t="inlineStr">
        <is>
          <t>AREA-A</t>
        </is>
      </c>
      <c r="F43" s="3" t="inlineStr">
        <is>
          <t>CSAT-5-V1</t>
        </is>
      </c>
      <c r="G43" s="3" t="inlineStr">
        <is>
          <t>2026-02-15T09:00:00+07:00</t>
        </is>
      </c>
      <c r="H43" s="2" t="n">
        <v>5</v>
      </c>
      <c r="I43" s="2" t="n">
        <v>4</v>
      </c>
      <c r="J43" s="2" t="n">
        <v>3</v>
      </c>
      <c r="K43" s="2" t="b">
        <v>1</v>
      </c>
      <c r="L43" s="3" t="n"/>
      <c r="M43" s="2" t="n">
        <v>1</v>
      </c>
      <c r="N43" s="2" t="n">
        <v>1</v>
      </c>
      <c r="O43" s="3" t="inlineStr">
        <is>
          <t>OPT_IN_SIMULATED</t>
        </is>
      </c>
      <c r="P43" s="3" t="inlineStr">
        <is>
          <t>2026-02-01</t>
        </is>
      </c>
      <c r="Q43" s="3" t="inlineStr">
        <is>
          <t>2026-02-28</t>
        </is>
      </c>
      <c r="R43" s="3" t="inlineStr">
        <is>
          <t>2026-03-03T09:00:00+07:00</t>
        </is>
      </c>
      <c r="S43" s="3" t="inlineStr">
        <is>
          <t>2026-03-03T09:00:00+07:00</t>
        </is>
      </c>
    </row>
    <row r="44">
      <c r="A44" s="3" t="inlineStr">
        <is>
          <t>SUR-2-PROD-FEED-06</t>
        </is>
      </c>
      <c r="B44" s="3" t="inlineStr">
        <is>
          <t>ANON-2-PROD-FEED-06</t>
        </is>
      </c>
      <c r="C44" s="3" t="inlineStr">
        <is>
          <t>UNIT-CS</t>
        </is>
      </c>
      <c r="D44" s="3" t="inlineStr">
        <is>
          <t>PROD-FEED</t>
        </is>
      </c>
      <c r="E44" s="3" t="inlineStr">
        <is>
          <t>AREA-A</t>
        </is>
      </c>
      <c r="F44" s="3" t="inlineStr">
        <is>
          <t>CSAT-5-V1</t>
        </is>
      </c>
      <c r="G44" s="3" t="inlineStr">
        <is>
          <t>2026-02-16T09:00:00+07:00</t>
        </is>
      </c>
      <c r="H44" s="2" t="n">
        <v>3</v>
      </c>
      <c r="I44" s="2" t="n">
        <v>4</v>
      </c>
      <c r="J44" s="2" t="n">
        <v>3</v>
      </c>
      <c r="K44" s="2" t="b">
        <v>1</v>
      </c>
      <c r="L44" s="3" t="n"/>
      <c r="M44" s="2" t="n">
        <v>1</v>
      </c>
      <c r="N44" s="2" t="n">
        <v>0</v>
      </c>
      <c r="O44" s="3" t="inlineStr">
        <is>
          <t>OPT_IN_SIMULATED</t>
        </is>
      </c>
      <c r="P44" s="3" t="inlineStr">
        <is>
          <t>2026-02-01</t>
        </is>
      </c>
      <c r="Q44" s="3" t="inlineStr">
        <is>
          <t>2026-02-28</t>
        </is>
      </c>
      <c r="R44" s="3" t="inlineStr">
        <is>
          <t>2026-03-03T09:00:00+07:00</t>
        </is>
      </c>
      <c r="S44" s="3" t="inlineStr">
        <is>
          <t>2026-03-03T09:00:00+07:00</t>
        </is>
      </c>
    </row>
    <row r="45">
      <c r="A45" s="3" t="inlineStr">
        <is>
          <t>SUR-2-PROD-FEED-07</t>
        </is>
      </c>
      <c r="B45" s="3" t="inlineStr">
        <is>
          <t>ANON-2-PROD-FEED-07</t>
        </is>
      </c>
      <c r="C45" s="3" t="inlineStr">
        <is>
          <t>UNIT-CS</t>
        </is>
      </c>
      <c r="D45" s="3" t="inlineStr">
        <is>
          <t>PROD-FEED</t>
        </is>
      </c>
      <c r="E45" s="3" t="inlineStr">
        <is>
          <t>AREA-A</t>
        </is>
      </c>
      <c r="F45" s="3" t="inlineStr">
        <is>
          <t>CSAT-5-V1</t>
        </is>
      </c>
      <c r="G45" s="3" t="inlineStr">
        <is>
          <t>2026-02-17T09:00:00+07:00</t>
        </is>
      </c>
      <c r="H45" s="2" t="n">
        <v>4</v>
      </c>
      <c r="I45" s="2" t="n">
        <v>4</v>
      </c>
      <c r="J45" s="2" t="n">
        <v>3</v>
      </c>
      <c r="K45" s="2" t="b">
        <v>1</v>
      </c>
      <c r="L45" s="3" t="n"/>
      <c r="M45" s="2" t="n">
        <v>1</v>
      </c>
      <c r="N45" s="2" t="n">
        <v>1</v>
      </c>
      <c r="O45" s="3" t="inlineStr">
        <is>
          <t>OPT_IN_SIMULATED</t>
        </is>
      </c>
      <c r="P45" s="3" t="inlineStr">
        <is>
          <t>2026-02-01</t>
        </is>
      </c>
      <c r="Q45" s="3" t="inlineStr">
        <is>
          <t>2026-02-28</t>
        </is>
      </c>
      <c r="R45" s="3" t="inlineStr">
        <is>
          <t>2026-03-03T09:00:00+07:00</t>
        </is>
      </c>
      <c r="S45" s="3" t="inlineStr">
        <is>
          <t>2026-03-03T09:00:00+07:00</t>
        </is>
      </c>
    </row>
    <row r="46">
      <c r="A46" s="3" t="inlineStr">
        <is>
          <t>SUR-2-PROD-FEED-08</t>
        </is>
      </c>
      <c r="B46" s="3" t="inlineStr">
        <is>
          <t>ANON-2-PROD-FEED-08</t>
        </is>
      </c>
      <c r="C46" s="3" t="inlineStr">
        <is>
          <t>UNIT-CS</t>
        </is>
      </c>
      <c r="D46" s="3" t="inlineStr">
        <is>
          <t>PROD-FEED</t>
        </is>
      </c>
      <c r="E46" s="3" t="inlineStr">
        <is>
          <t>AREA-A</t>
        </is>
      </c>
      <c r="F46" s="3" t="inlineStr">
        <is>
          <t>CSAT-5-V1</t>
        </is>
      </c>
      <c r="G46" s="3" t="inlineStr">
        <is>
          <t>2026-02-18T09:00:00+07:00</t>
        </is>
      </c>
      <c r="H46" s="2" t="n">
        <v>4</v>
      </c>
      <c r="I46" s="2" t="n">
        <v>4</v>
      </c>
      <c r="J46" s="2" t="n">
        <v>3</v>
      </c>
      <c r="K46" s="2" t="b">
        <v>1</v>
      </c>
      <c r="L46" s="3" t="n"/>
      <c r="M46" s="2" t="n">
        <v>1</v>
      </c>
      <c r="N46" s="2" t="n">
        <v>1</v>
      </c>
      <c r="O46" s="3" t="inlineStr">
        <is>
          <t>OPT_IN_SIMULATED</t>
        </is>
      </c>
      <c r="P46" s="3" t="inlineStr">
        <is>
          <t>2026-02-01</t>
        </is>
      </c>
      <c r="Q46" s="3" t="inlineStr">
        <is>
          <t>2026-02-28</t>
        </is>
      </c>
      <c r="R46" s="3" t="inlineStr">
        <is>
          <t>2026-03-03T09:00:00+07:00</t>
        </is>
      </c>
      <c r="S46" s="3" t="inlineStr">
        <is>
          <t>2026-03-03T09:00:00+07:00</t>
        </is>
      </c>
    </row>
    <row r="47">
      <c r="A47" s="3" t="inlineStr">
        <is>
          <t>SUR-2-PROD-FEED-09</t>
        </is>
      </c>
      <c r="B47" s="3" t="inlineStr">
        <is>
          <t>ANON-2-PROD-FEED-09</t>
        </is>
      </c>
      <c r="C47" s="3" t="inlineStr">
        <is>
          <t>UNIT-CS</t>
        </is>
      </c>
      <c r="D47" s="3" t="inlineStr">
        <is>
          <t>PROD-FEED</t>
        </is>
      </c>
      <c r="E47" s="3" t="inlineStr">
        <is>
          <t>AREA-A</t>
        </is>
      </c>
      <c r="F47" s="3" t="inlineStr">
        <is>
          <t>CSAT-5-V1</t>
        </is>
      </c>
      <c r="G47" s="3" t="inlineStr">
        <is>
          <t>2026-02-19T09:00:00+07:00</t>
        </is>
      </c>
      <c r="H47" s="2" t="n">
        <v>4</v>
      </c>
      <c r="I47" s="2" t="n">
        <v>4</v>
      </c>
      <c r="J47" s="2" t="n">
        <v>3</v>
      </c>
      <c r="K47" s="2" t="b">
        <v>1</v>
      </c>
      <c r="L47" s="3" t="n"/>
      <c r="M47" s="2" t="n">
        <v>1</v>
      </c>
      <c r="N47" s="2" t="n">
        <v>1</v>
      </c>
      <c r="O47" s="3" t="inlineStr">
        <is>
          <t>OPT_IN_SIMULATED</t>
        </is>
      </c>
      <c r="P47" s="3" t="inlineStr">
        <is>
          <t>2026-02-01</t>
        </is>
      </c>
      <c r="Q47" s="3" t="inlineStr">
        <is>
          <t>2026-02-28</t>
        </is>
      </c>
      <c r="R47" s="3" t="inlineStr">
        <is>
          <t>2026-03-03T09:00:00+07:00</t>
        </is>
      </c>
      <c r="S47" s="3" t="inlineStr">
        <is>
          <t>2026-03-03T09:00:00+07:00</t>
        </is>
      </c>
    </row>
    <row r="48">
      <c r="A48" s="3" t="inlineStr">
        <is>
          <t>SUR-2-PROD-FEED-10</t>
        </is>
      </c>
      <c r="B48" s="3" t="inlineStr">
        <is>
          <t>ANON-2-PROD-FEED-10</t>
        </is>
      </c>
      <c r="C48" s="3" t="inlineStr">
        <is>
          <t>UNIT-CS</t>
        </is>
      </c>
      <c r="D48" s="3" t="inlineStr">
        <is>
          <t>PROD-FEED</t>
        </is>
      </c>
      <c r="E48" s="3" t="inlineStr">
        <is>
          <t>AREA-A</t>
        </is>
      </c>
      <c r="F48" s="3" t="inlineStr">
        <is>
          <t>CSAT-5-V1</t>
        </is>
      </c>
      <c r="G48" s="3" t="inlineStr">
        <is>
          <t>2026-02-20T09:00:00+07:00</t>
        </is>
      </c>
      <c r="H48" s="2" t="n">
        <v>5</v>
      </c>
      <c r="I48" s="2" t="n">
        <v>4</v>
      </c>
      <c r="J48" s="2" t="n">
        <v>3</v>
      </c>
      <c r="K48" s="2" t="b">
        <v>1</v>
      </c>
      <c r="L48" s="3" t="n"/>
      <c r="M48" s="2" t="n">
        <v>1</v>
      </c>
      <c r="N48" s="2" t="n">
        <v>1</v>
      </c>
      <c r="O48" s="3" t="inlineStr">
        <is>
          <t>OPT_IN_SIMULATED</t>
        </is>
      </c>
      <c r="P48" s="3" t="inlineStr">
        <is>
          <t>2026-02-01</t>
        </is>
      </c>
      <c r="Q48" s="3" t="inlineStr">
        <is>
          <t>2026-02-28</t>
        </is>
      </c>
      <c r="R48" s="3" t="inlineStr">
        <is>
          <t>2026-03-03T09:00:00+07:00</t>
        </is>
      </c>
      <c r="S48" s="3" t="inlineStr">
        <is>
          <t>2026-03-03T09:00:00+07:00</t>
        </is>
      </c>
    </row>
    <row r="49">
      <c r="A49" s="3" t="inlineStr">
        <is>
          <t>SUR-2-PROD-FEED-11</t>
        </is>
      </c>
      <c r="B49" s="3" t="inlineStr">
        <is>
          <t>ANON-2-PROD-FEED-11</t>
        </is>
      </c>
      <c r="C49" s="3" t="inlineStr">
        <is>
          <t>UNIT-CS</t>
        </is>
      </c>
      <c r="D49" s="3" t="inlineStr">
        <is>
          <t>PROD-FEED</t>
        </is>
      </c>
      <c r="E49" s="3" t="inlineStr">
        <is>
          <t>AREA-A</t>
        </is>
      </c>
      <c r="F49" s="3" t="inlineStr">
        <is>
          <t>CSAT-5-V1</t>
        </is>
      </c>
      <c r="G49" s="3" t="inlineStr">
        <is>
          <t>2026-02-21T09:00:00+07:00</t>
        </is>
      </c>
      <c r="H49" s="2" t="n"/>
      <c r="I49" s="2" t="n"/>
      <c r="J49" s="2" t="n"/>
      <c r="K49" s="2" t="b">
        <v>0</v>
      </c>
      <c r="L49" s="3" t="inlineStr">
        <is>
          <t>INCOMPLETE</t>
        </is>
      </c>
      <c r="M49" s="2" t="n">
        <v>0</v>
      </c>
      <c r="N49" s="2" t="n">
        <v>0</v>
      </c>
      <c r="O49" s="3" t="inlineStr">
        <is>
          <t>OPT_IN_SIMULATED</t>
        </is>
      </c>
      <c r="P49" s="3" t="inlineStr">
        <is>
          <t>2026-02-01</t>
        </is>
      </c>
      <c r="Q49" s="3" t="inlineStr">
        <is>
          <t>2026-02-28</t>
        </is>
      </c>
      <c r="R49" s="3" t="inlineStr">
        <is>
          <t>2026-03-03T09:00:00+07:00</t>
        </is>
      </c>
      <c r="S49" s="3" t="inlineStr">
        <is>
          <t>2026-03-03T09:00:00+07:00</t>
        </is>
      </c>
    </row>
  </sheetData>
  <autoFilter ref="A1:S49"/>
  <dataValidations count="6">
    <dataValidation sqref="C2:C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D2:D1001" showDropDown="0" showInputMessage="0" showErrorMessage="1" allowBlank="0" errorTitle="Kode belum ada di master" error="Pilih kode rujukan yang sah; master baru harus direview sebelum dipakai." type="list">
      <formula1>=REF_product_code</formula1>
    </dataValidation>
    <dataValidation sqref="E2:E1001" showDropDown="0" showInputMessage="0" showErrorMessage="1" allowBlank="0" errorTitle="Kode belum ada di master" error="Pilih kode rujukan yang sah; master baru harus direview sebelum dipakai." type="list">
      <formula1>=REF_area_code</formula1>
    </dataValidation>
    <dataValidation sqref="H2:H1001" showDropDown="0" showInputMessage="0" showErrorMessage="1" allowBlank="1" errorTitle="Skor di luar skala" error="Gunakan skor 1 sampai 5 atau kosong jika tidak valid." type="decimal" operator="between">
      <formula1>1</formula1>
      <formula2>5</formula2>
    </dataValidation>
    <dataValidation sqref="I2:I1001" showDropDown="0" showInputMessage="0" showErrorMessage="1" allowBlank="1" errorTitle="Skor di luar skala" error="Gunakan skor 1 sampai 5 atau kosong jika tidak valid." type="decimal" operator="between">
      <formula1>1</formula1>
      <formula2>5</formula2>
    </dataValidation>
    <dataValidation sqref="J2:J1001" showDropDown="0" showInputMessage="0" showErrorMessage="1" allowBlank="1" errorTitle="Skor di luar skala" error="Gunakan skor 1 sampai 5 atau kosong jika tidak valid." type="decimal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s:worksheet xmlns:r="http://schemas.openxmlformats.org/officeDocument/2006/relationships" xmlns:s="http://schemas.openxmlformats.org/spreadsheetml/2006/main">
  <s:sheetPr>
    <s:tabColor rgb="002563EB"/>
    <s:outlinePr summaryBelow="1" summaryRight="1"/>
    <s:pageSetUpPr/>
  </s:sheetPr>
  <s:dimension ref="A1:T5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18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23" customWidth="1" min="10" max="10"/>
    <s:col width="18" customWidth="1" min="11" max="11"/>
    <s:col width="18" customWidth="1" min="12" max="12"/>
    <s:col width="18" customWidth="1" min="13" max="13"/>
    <s:col width="20" customWidth="1" min="14" max="14"/>
    <s:col width="20" customWidth="1" min="15" max="15"/>
    <s:col width="18" customWidth="1" min="16" max="16"/>
    <s:col width="18" customWidth="1" min="17" max="17"/>
    <s:col width="19" customWidth="1" min="18" max="18"/>
    <s:col width="18" customWidth="1" min="19" max="19"/>
    <s:col width="18" customWidth="1" min="20" max="20"/>
  </s:cols>
  <s:sheetData>
    <s:row r="1" ht="32" customHeight="1">
      <s:c r="A1" s="1" t="inlineStr">
        <s:is>
          <s:t>csat_summary_id</s:t>
        </s:is>
      </s:c>
      <s:c r="B1" s="1" t="inlineStr">
        <s:is>
          <s:t>unit_code</s:t>
        </s:is>
      </s:c>
      <s:c r="C1" s="1" t="inlineStr">
        <s:is>
          <s:t>product_code</s:t>
        </s:is>
      </s:c>
      <s:c r="D1" s="1" t="inlineStr">
        <s:is>
          <s:t>area_code</s:t>
        </s:is>
      </s:c>
      <s:c r="E1" s="1" t="inlineStr">
        <s:is>
          <s:t>period_start</s:t>
        </s:is>
      </s:c>
      <s:c r="F1" s="1" t="inlineStr">
        <s:is>
          <s:t>period_end</s:t>
        </s:is>
      </s:c>
      <s:c r="G1" s="1" t="inlineStr">
        <s:is>
          <s:t>survey_version</s:t>
        </s:is>
      </s:c>
      <s:c r="H1" s="1" t="inlineStr">
        <s:is>
          <s:t>invited_count</s:t>
        </s:is>
      </s:c>
      <s:c r="I1" s="1" t="inlineStr">
        <s:is>
          <s:t>received_count</s:t>
        </s:is>
      </s:c>
      <s:c r="J1" s="1" t="inlineStr">
        <s:is>
          <s:t>valid_response_count</s:t>
        </s:is>
      </s:c>
      <s:c r="K1" s="1" t="inlineStr">
        <s:is>
          <s:t>excluded_count</s:t>
        </s:is>
      </s:c>
      <s:c r="L1" s="1" t="inlineStr">
        <s:is>
          <s:t>satisfied_count</s:t>
        </s:is>
      </s:c>
      <s:c r="M1" s="1" t="inlineStr">
        <s:is>
          <s:t>csat_ratio</s:t>
        </s:is>
      </s:c>
      <s:c r="N1" s="1" t="inlineStr">
        <s:is>
          <s:t>target_csat_ratio</s:t>
        </s:is>
      </s:c>
      <s:c r="O1" s="1" t="inlineStr">
        <s:is>
          <s:t>avg_product_score</s:t>
        </s:is>
      </s:c>
      <s:c r="P1" s="1" t="inlineStr">
        <s:is>
          <s:t>response_rate</s:t>
        </s:is>
      </s:c>
      <s:c r="Q1" s="1" t="inlineStr">
        <s:is>
          <s:t>sample_status</s:t>
        </s:is>
      </s:c>
      <s:c r="R1" s="1" t="inlineStr">
        <s:is>
          <s:t>reporting_status</s:t>
        </s:is>
      </s:c>
      <s:c r="S1" s="1" t="inlineStr">
        <s:is>
          <s:t>collected_at</s:t>
        </s:is>
      </s:c>
      <s:c r="T1" s="1" t="inlineStr">
        <s:is>
          <s:t>data_as_of_at</s:t>
        </s:is>
      </s:c>
    </s:row>
    <s:row r="2">
      <s:c r="A2" s="3" t="inlineStr">
        <s:is>
          <s:t>CSAT-1-PROD-MILK</s:t>
        </s:is>
      </s:c>
      <s:c r="B2" s="3" t="inlineStr">
        <s:is>
          <s:t>UNIT-CS</s:t>
        </s:is>
      </s:c>
      <s:c r="C2" s="3" t="inlineStr">
        <s:is>
          <s:t>PROD-MILK</s:t>
        </s:is>
      </s:c>
      <s:c r="D2" s="3" t="inlineStr">
        <s:is>
          <s:t>AREA-A</s:t>
        </s:is>
      </s:c>
      <s:c r="E2" s="3" t="inlineStr">
        <s:is>
          <s:t>2026-01-01</s:t>
        </s:is>
      </s:c>
      <s:c r="F2" s="3" t="inlineStr">
        <s:is>
          <s:t>2026-01-31</s:t>
        </s:is>
      </s:c>
      <s:c r="G2" s="3" t="inlineStr">
        <s:is>
          <s:t>CSAT-5-V1</s:t>
        </s:is>
      </s:c>
      <s:c r="H2" s="2" t="n">
        <s:v>100</s:v>
      </s:c>
      <s:c r="I2" s="2">
        <s:f>COUNTIFS('Survey_Data'!D:D,C2,'Survey_Data'!E:E,D2,'Survey_Data'!F:F,G2,'Survey_Data'!P:P,E2,'Survey_Data'!Q:Q,F2)</s:f>
        <s:v>12</s:v>
      </s:c>
      <s:c r="J2" s="2">
        <s:f>SUMIFS('Survey_Data'!M:M,'Survey_Data'!D:D,C2,'Survey_Data'!E:E,D2,'Survey_Data'!F:F,G2,'Survey_Data'!P:P,E2,'Survey_Data'!Q:Q,F2)</s:f>
        <s:v>11</s:v>
      </s:c>
      <s:c r="K2" s="2">
        <s:f>I2-J2</s:f>
        <s:v>1</s:v>
      </s:c>
      <s:c r="L2" s="2">
        <s:f>SUMIFS('Survey_Data'!N:N,'Survey_Data'!D:D,C2,'Survey_Data'!E:E,D2,'Survey_Data'!F:F,G2,'Survey_Data'!P:P,E2,'Survey_Data'!Q:Q,F2)</s:f>
        <s:v>5</s:v>
      </s:c>
      <s:c r="M2" s="4">
        <s:f>IF(J2&gt;0,L2/J2,"")</s:f>
        <s:v>0.454545</s:v>
      </s:c>
      <s:c r="N2" s="4" t="n">
        <s:v>0.8</s:v>
      </s:c>
      <s:c r="O2" s="5">
        <s:f>AVERAGEIFS('Survey_Data'!H:H,'Survey_Data'!D:D,C2,'Survey_Data'!E:E,D2,'Survey_Data'!F:F,G2,'Survey_Data'!P:P,E2,'Survey_Data'!Q:Q,F2,'Survey_Data'!K:K,TRUE)</s:f>
        <s:v>3.363636</s:v>
      </s:c>
      <s:c r="P2" s="4">
        <s:f>IF(H2&gt;0,I2/H2,"")</s:f>
        <s:v>0.12</s:v>
      </s:c>
      <s:c r="Q2" s="3" t="inlineStr">
        <s:is>
          <s:t>SMALL_OPT_IN_SAMPLE</s:t>
        </s:is>
      </s:c>
      <s:c r="R2" s="3" t="inlineStr">
        <s:is>
          <s:t>FINAL_SIMULATED</s:t>
        </s:is>
      </s:c>
      <s:c r="S2" s="3" t="inlineStr">
        <s:is>
          <s:t>2026-03-03T09:00:00+07:00</s:t>
        </s:is>
      </s:c>
      <s:c r="T2" s="3" t="inlineStr">
        <s:is>
          <s:t>2026-03-03T09:00:00+07:00</s:t>
        </s:is>
      </s:c>
    </s:row>
    <s:row r="3">
      <s:c r="A3" s="3" t="inlineStr">
        <s:is>
          <s:t>CSAT-1-PROD-FEED</s:t>
        </s:is>
      </s:c>
      <s:c r="B3" s="3" t="inlineStr">
        <s:is>
          <s:t>UNIT-CS</s:t>
        </s:is>
      </s:c>
      <s:c r="C3" s="3" t="inlineStr">
        <s:is>
          <s:t>PROD-FEED</s:t>
        </s:is>
      </s:c>
      <s:c r="D3" s="3" t="inlineStr">
        <s:is>
          <s:t>AREA-A</s:t>
        </s:is>
      </s:c>
      <s:c r="E3" s="3" t="inlineStr">
        <s:is>
          <s:t>2026-01-01</s:t>
        </s:is>
      </s:c>
      <s:c r="F3" s="3" t="inlineStr">
        <s:is>
          <s:t>2026-01-31</s:t>
        </s:is>
      </s:c>
      <s:c r="G3" s="3" t="inlineStr">
        <s:is>
          <s:t>CSAT-5-V1</s:t>
        </s:is>
      </s:c>
      <s:c r="H3" s="2" t="n">
        <s:v>100</s:v>
      </s:c>
      <s:c r="I3" s="2">
        <s:f>COUNTIFS('Survey_Data'!D:D,C3,'Survey_Data'!E:E,D3,'Survey_Data'!F:F,G3,'Survey_Data'!P:P,E3,'Survey_Data'!Q:Q,F3)</s:f>
        <s:v>12</s:v>
      </s:c>
      <s:c r="J3" s="2">
        <s:f>SUMIFS('Survey_Data'!M:M,'Survey_Data'!D:D,C3,'Survey_Data'!E:E,D3,'Survey_Data'!F:F,G3,'Survey_Data'!P:P,E3,'Survey_Data'!Q:Q,F3)</s:f>
        <s:v>11</s:v>
      </s:c>
      <s:c r="K3" s="2">
        <s:f>I3-J3</s:f>
        <s:v>1</s:v>
      </s:c>
      <s:c r="L3" s="2">
        <s:f>SUMIFS('Survey_Data'!N:N,'Survey_Data'!D:D,C3,'Survey_Data'!E:E,D3,'Survey_Data'!F:F,G3,'Survey_Data'!P:P,E3,'Survey_Data'!Q:Q,F3)</s:f>
        <s:v>5</s:v>
      </s:c>
      <s:c r="M3" s="4">
        <s:f>IF(J3&gt;0,L3/J3,"")</s:f>
        <s:v>0.454545</s:v>
      </s:c>
      <s:c r="N3" s="4" t="n">
        <s:v>0.8</s:v>
      </s:c>
      <s:c r="O3" s="5">
        <s:f>AVERAGEIFS('Survey_Data'!H:H,'Survey_Data'!D:D,C3,'Survey_Data'!E:E,D3,'Survey_Data'!F:F,G3,'Survey_Data'!P:P,E3,'Survey_Data'!Q:Q,F3,'Survey_Data'!K:K,TRUE)</s:f>
        <s:v>3.363636</s:v>
      </s:c>
      <s:c r="P3" s="4">
        <s:f>IF(H3&gt;0,I3/H3,"")</s:f>
        <s:v>0.12</s:v>
      </s:c>
      <s:c r="Q3" s="3" t="inlineStr">
        <s:is>
          <s:t>SMALL_OPT_IN_SAMPLE</s:t>
        </s:is>
      </s:c>
      <s:c r="R3" s="3" t="inlineStr">
        <s:is>
          <s:t>FINAL_SIMULATED</s:t>
        </s:is>
      </s:c>
      <s:c r="S3" s="3" t="inlineStr">
        <s:is>
          <s:t>2026-03-03T09:00:00+07:00</s:t>
        </s:is>
      </s:c>
      <s:c r="T3" s="3" t="inlineStr">
        <s:is>
          <s:t>2026-03-03T09:00:00+07:00</s:t>
        </s:is>
      </s:c>
    </s:row>
    <s:row r="4">
      <s:c r="A4" s="3" t="inlineStr">
        <s:is>
          <s:t>CSAT-2-PROD-MILK</s:t>
        </s:is>
      </s:c>
      <s:c r="B4" s="3" t="inlineStr">
        <s:is>
          <s:t>UNIT-CS</s:t>
        </s:is>
      </s:c>
      <s:c r="C4" s="3" t="inlineStr">
        <s:is>
          <s:t>PROD-MILK</s:t>
        </s:is>
      </s:c>
      <s:c r="D4" s="3" t="inlineStr">
        <s:is>
          <s:t>AREA-A</s:t>
        </s:is>
      </s:c>
      <s:c r="E4" s="3" t="inlineStr">
        <s:is>
          <s:t>2026-02-01</s:t>
        </s:is>
      </s:c>
      <s:c r="F4" s="3" t="inlineStr">
        <s:is>
          <s:t>2026-02-28</s:t>
        </s:is>
      </s:c>
      <s:c r="G4" s="3" t="inlineStr">
        <s:is>
          <s:t>CSAT-5-V1</s:t>
        </s:is>
      </s:c>
      <s:c r="H4" s="2" t="n">
        <s:v>100</s:v>
      </s:c>
      <s:c r="I4" s="2">
        <s:f>COUNTIFS('Survey_Data'!D:D,C4,'Survey_Data'!E:E,D4,'Survey_Data'!F:F,G4,'Survey_Data'!P:P,E4,'Survey_Data'!Q:Q,F4)</s:f>
        <s:v>12</s:v>
      </s:c>
      <s:c r="J4" s="2">
        <s:f>SUMIFS('Survey_Data'!M:M,'Survey_Data'!D:D,C4,'Survey_Data'!E:E,D4,'Survey_Data'!F:F,G4,'Survey_Data'!P:P,E4,'Survey_Data'!Q:Q,F4)</s:f>
        <s:v>11</s:v>
      </s:c>
      <s:c r="K4" s="2">
        <s:f>I4-J4</s:f>
        <s:v>1</s:v>
      </s:c>
      <s:c r="L4" s="2">
        <s:f>SUMIFS('Survey_Data'!N:N,'Survey_Data'!D:D,C4,'Survey_Data'!E:E,D4,'Survey_Data'!F:F,G4,'Survey_Data'!P:P,E4,'Survey_Data'!Q:Q,F4)</s:f>
        <s:v>9</s:v>
      </s:c>
      <s:c r="M4" s="4">
        <s:f>IF(J4&gt;0,L4/J4,"")</s:f>
        <s:v>0.818182</s:v>
      </s:c>
      <s:c r="N4" s="4" t="n">
        <s:v>0.8</s:v>
      </s:c>
      <s:c r="O4" s="5">
        <s:f>AVERAGEIFS('Survey_Data'!H:H,'Survey_Data'!D:D,C4,'Survey_Data'!E:E,D4,'Survey_Data'!F:F,G4,'Survey_Data'!P:P,E4,'Survey_Data'!Q:Q,F4,'Survey_Data'!K:K,TRUE)</s:f>
        <s:v>4.090909</s:v>
      </s:c>
      <s:c r="P4" s="4">
        <s:f>IF(H4&gt;0,I4/H4,"")</s:f>
        <s:v>0.12</s:v>
      </s:c>
      <s:c r="Q4" s="3" t="inlineStr">
        <s:is>
          <s:t>SMALL_OPT_IN_SAMPLE</s:t>
        </s:is>
      </s:c>
      <s:c r="R4" s="3" t="inlineStr">
        <s:is>
          <s:t>FINAL_SIMULATED</s:t>
        </s:is>
      </s:c>
      <s:c r="S4" s="3" t="inlineStr">
        <s:is>
          <s:t>2026-03-03T09:00:00+07:00</s:t>
        </s:is>
      </s:c>
      <s:c r="T4" s="3" t="inlineStr">
        <s:is>
          <s:t>2026-03-03T09:00:00+07:00</s:t>
        </s:is>
      </s:c>
    </s:row>
    <s:row r="5">
      <s:c r="A5" s="3" t="inlineStr">
        <s:is>
          <s:t>CSAT-2-PROD-FEED</s:t>
        </s:is>
      </s:c>
      <s:c r="B5" s="3" t="inlineStr">
        <s:is>
          <s:t>UNIT-CS</s:t>
        </s:is>
      </s:c>
      <s:c r="C5" s="3" t="inlineStr">
        <s:is>
          <s:t>PROD-FEED</s:t>
        </s:is>
      </s:c>
      <s:c r="D5" s="3" t="inlineStr">
        <s:is>
          <s:t>AREA-A</s:t>
        </s:is>
      </s:c>
      <s:c r="E5" s="3" t="inlineStr">
        <s:is>
          <s:t>2026-02-01</s:t>
        </s:is>
      </s:c>
      <s:c r="F5" s="3" t="inlineStr">
        <s:is>
          <s:t>2026-02-28</s:t>
        </s:is>
      </s:c>
      <s:c r="G5" s="3" t="inlineStr">
        <s:is>
          <s:t>CSAT-5-V1</s:t>
        </s:is>
      </s:c>
      <s:c r="H5" s="2" t="n">
        <s:v>100</s:v>
      </s:c>
      <s:c r="I5" s="2">
        <s:f>COUNTIFS('Survey_Data'!D:D,C5,'Survey_Data'!E:E,D5,'Survey_Data'!F:F,G5,'Survey_Data'!P:P,E5,'Survey_Data'!Q:Q,F5)</s:f>
        <s:v>12</s:v>
      </s:c>
      <s:c r="J5" s="2">
        <s:f>SUMIFS('Survey_Data'!M:M,'Survey_Data'!D:D,C5,'Survey_Data'!E:E,D5,'Survey_Data'!F:F,G5,'Survey_Data'!P:P,E5,'Survey_Data'!Q:Q,F5)</s:f>
        <s:v>11</s:v>
      </s:c>
      <s:c r="K5" s="2">
        <s:f>I5-J5</s:f>
        <s:v>1</s:v>
      </s:c>
      <s:c r="L5" s="2">
        <s:f>SUMIFS('Survey_Data'!N:N,'Survey_Data'!D:D,C5,'Survey_Data'!E:E,D5,'Survey_Data'!F:F,G5,'Survey_Data'!P:P,E5,'Survey_Data'!Q:Q,F5)</s:f>
        <s:v>9</s:v>
      </s:c>
      <s:c r="M5" s="4">
        <s:f>IF(J5&gt;0,L5/J5,"")</s:f>
        <s:v>0.818182</s:v>
      </s:c>
      <s:c r="N5" s="4" t="n">
        <s:v>0.8</s:v>
      </s:c>
      <s:c r="O5" s="5">
        <s:f>AVERAGEIFS('Survey_Data'!H:H,'Survey_Data'!D:D,C5,'Survey_Data'!E:E,D5,'Survey_Data'!F:F,G5,'Survey_Data'!P:P,E5,'Survey_Data'!Q:Q,F5,'Survey_Data'!K:K,TRUE)</s:f>
        <s:v>4.090909</s:v>
      </s:c>
      <s:c r="P5" s="4">
        <s:f>IF(H5&gt;0,I5/H5,"")</s:f>
        <s:v>0.12</s:v>
      </s:c>
      <s:c r="Q5" s="3" t="inlineStr">
        <s:is>
          <s:t>SMALL_OPT_IN_SAMPLE</s:t>
        </s:is>
      </s:c>
      <s:c r="R5" s="3" t="inlineStr">
        <s:is>
          <s:t>FINAL_SIMULATED</s:t>
        </s:is>
      </s:c>
      <s:c r="S5" s="3" t="inlineStr">
        <s:is>
          <s:t>2026-03-03T09:00:00+07:00</s:t>
        </s:is>
      </s:c>
      <s:c r="T5" s="3" t="inlineStr">
        <s:is>
          <s:t>2026-03-03T09:00:00+07:00</s:t>
        </s:is>
      </s:c>
    </s:row>
  </s:sheetData>
  <s:autoFilter ref="A1:T5"/>
  <s:dataValidations count="4">
    <s:dataValidation sqref="B2:B1001" showDropDown="0" showInputMessage="0" showErrorMessage="1" allowBlank="0" errorTitle="Kode belum ada di master" error="Pilih kode rujukan yang sah; master baru harus direview sebelum dipakai." type="list">
      <s:formula1>=REF_unit_code</s:formula1>
    </s:dataValidation>
    <s:dataValidation sqref="C2:C1001" showDropDown="0" showInputMessage="0" showErrorMessage="1" allowBlank="0" errorTitle="Kode belum ada di master" error="Pilih kode rujukan yang sah; master baru harus direview sebelum dipakai." type="list">
      <s:formula1>=REF_product_code</s:formula1>
    </s:dataValidation>
    <s:dataValidation sqref="D2:D1001" showDropDown="0" showInputMessage="0" showErrorMessage="1" allowBlank="0" errorTitle="Kode belum ada di master" error="Pilih kode rujukan yang sah; master baru harus direview sebelum dipakai." type="list">
      <s:formula1>=REF_area_code</s:formula1>
    </s:dataValidation>
    <s:dataValidation sqref="O2:O1001" showDropDown="0" showInputMessage="0" showErrorMessage="1" allowBlank="0" errorTitle="Skor di luar skala" error="Gunakan skor 1 sampai 5 atau kosong jika tidak valid." type="decimal" operator="between">
      <s:formula1>1</s:formula1>
      <s:formula2>5</s:formula2>
    </s:dataValidation>
  </s:dataValidations>
  <s:pageMargins left="0.75" right="0.75" top="1" bottom="1" header="0.5" footer="0.5"/>
  <s:tableParts count="1">
    <s:tablePart r:id="rId1"/>
  </s:tableParts>
</s:worksheet>
</file>

<file path=xl/worksheets/sheet11.xml><?xml version="1.0" encoding="utf-8"?>
<worksheet xmlns="http://schemas.openxmlformats.org/spreadsheetml/2006/main">
  <sheetPr>
    <tabColor rgb="002563EB"/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18" customWidth="1" min="11" max="11"/>
    <col width="19" customWidth="1" min="12" max="12"/>
    <col width="18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2" customWidth="1" min="22" max="22"/>
    <col width="18" customWidth="1" min="23" max="23"/>
  </cols>
  <sheetData>
    <row r="1" ht="32" customHeight="1">
      <c r="A1" s="1" t="inlineStr">
        <is>
          <t>action_id</t>
        </is>
      </c>
      <c r="B1" s="1" t="inlineStr">
        <is>
          <t>source_sheet</t>
        </is>
      </c>
      <c r="C1" s="1" t="inlineStr">
        <is>
          <t>source_record_id</t>
        </is>
      </c>
      <c r="D1" s="1" t="inlineStr">
        <is>
          <t>unit_code</t>
        </is>
      </c>
      <c r="E1" s="1" t="inlineStr">
        <is>
          <t>indicator_code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baseline_value</t>
        </is>
      </c>
      <c r="I1" s="1" t="inlineStr">
        <is>
          <t>target_value</t>
        </is>
      </c>
      <c r="J1" s="1" t="inlineStr">
        <is>
          <t>measurement_unit</t>
        </is>
      </c>
      <c r="K1" s="1" t="inlineStr">
        <is>
          <t>finding</t>
        </is>
      </c>
      <c r="L1" s="1" t="inlineStr">
        <is>
          <t>cause_hypothesis</t>
        </is>
      </c>
      <c r="M1" s="1" t="inlineStr">
        <is>
          <t>cause_status</t>
        </is>
      </c>
      <c r="N1" s="1" t="inlineStr">
        <is>
          <t>evidence_ref</t>
        </is>
      </c>
      <c r="O1" s="1" t="inlineStr">
        <is>
          <t>action_description</t>
        </is>
      </c>
      <c r="P1" s="1" t="inlineStr">
        <is>
          <t>owner_team_code</t>
        </is>
      </c>
      <c r="Q1" s="1" t="inlineStr">
        <is>
          <t>due_date</t>
        </is>
      </c>
      <c r="R1" s="1" t="inlineStr">
        <is>
          <t>action_status</t>
        </is>
      </c>
      <c r="S1" s="1" t="inlineStr">
        <is>
          <t>followup_start</t>
        </is>
      </c>
      <c r="T1" s="1" t="inlineStr">
        <is>
          <t>followup_end</t>
        </is>
      </c>
      <c r="U1" s="1" t="inlineStr">
        <is>
          <t>followup_value</t>
        </is>
      </c>
      <c r="V1" s="1" t="inlineStr">
        <is>
          <t>verification_status</t>
        </is>
      </c>
      <c r="W1" s="1" t="inlineStr">
        <is>
          <t>collected_at</t>
        </is>
      </c>
    </row>
    <row r="2">
      <c r="A2" s="3" t="inlineStr">
        <is>
          <t>ACT-CSAT-01</t>
        </is>
      </c>
      <c r="B2" s="3" t="inlineStr">
        <is>
          <t>CSAT_Rekap</t>
        </is>
      </c>
      <c r="C2" s="3" t="inlineStr">
        <is>
          <t>CSAT-1-PROD-MILK</t>
        </is>
      </c>
      <c r="D2" s="3" t="inlineStr">
        <is>
          <t>UNIT-CS</t>
        </is>
      </c>
      <c r="E2" s="3" t="inlineStr">
        <is>
          <t>PRODUCT_CSAT</t>
        </is>
      </c>
      <c r="F2" s="3" t="inlineStr">
        <is>
          <t>2026-01-01</t>
        </is>
      </c>
      <c r="G2" s="3" t="inlineStr">
        <is>
          <t>2026-01-31</t>
        </is>
      </c>
      <c r="H2" s="5" t="n">
        <v>0.454545</v>
      </c>
      <c r="I2" s="5" t="n">
        <v>0.8</v>
      </c>
      <c r="J2" s="3" t="inlineStr">
        <is>
          <t>RATIO</t>
        </is>
      </c>
      <c r="K2" s="3" t="inlineStr">
        <is>
          <t>CSAT produk Januari di bawah target contoh 80%.</t>
        </is>
      </c>
      <c r="L2" s="3" t="inlineStr">
        <is>
          <t>Masalah pengalaman produk masih dugaan; sampel kecil/self-selection dapat memengaruhi hasil.</t>
        </is>
      </c>
      <c r="M2" s="3" t="inlineStr">
        <is>
          <t>UNVERIFIED</t>
        </is>
      </c>
      <c r="N2" s="3" t="inlineStr">
        <is>
          <t>SIMULASI::CSAT_Rekap::CSAT-1-PROD-MILK</t>
        </is>
      </c>
      <c r="O2" s="3" t="inlineStr">
        <is>
          <t>Perbaiki cakupan sampel dan lakukan wawancara terstruktur anonim; verifikasi tema masalah sebelum uji perbaikan produk.</t>
        </is>
      </c>
      <c r="P2" s="3" t="inlineStr">
        <is>
          <t>TEAM-CS</t>
        </is>
      </c>
      <c r="Q2" s="3" t="inlineStr">
        <is>
          <t>2026-02-15</t>
        </is>
      </c>
      <c r="R2" s="3" t="inlineStr">
        <is>
          <t>PLANNED</t>
        </is>
      </c>
      <c r="S2" s="3" t="inlineStr">
        <is>
          <t>2026-02-01</t>
        </is>
      </c>
      <c r="T2" s="3" t="inlineStr">
        <is>
          <t>2026-02-28</t>
        </is>
      </c>
      <c r="U2" s="5" t="n"/>
      <c r="V2" s="3" t="inlineStr">
        <is>
          <t>NOT_EVALUATED</t>
        </is>
      </c>
      <c r="W2" s="3" t="inlineStr">
        <is>
          <t>2026-02-02T09:00:00+07:00</t>
        </is>
      </c>
    </row>
  </sheetData>
  <autoFilter ref="A1:W2"/>
  <dataValidations count="3">
    <dataValidation sqref="D2:D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E2:E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  <dataValidation sqref="P2:P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Google Sheet AI - contoh offline</dc:creator>
  <dc:title>CONTOH FIKTIF - Data kepuasan pelanggan berbasis produk</dc:title>
  <dcterms:created xsi:type="dcterms:W3CDTF">2026-03-03T02:00:00Z</dcterms:created>
  <dcterms:modified xsi:type="dcterms:W3CDTF">2026-03-03T02:00:00Z</dcterms:modified>
</cp:coreProperties>
</file>