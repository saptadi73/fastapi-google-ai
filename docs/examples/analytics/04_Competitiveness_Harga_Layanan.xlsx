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Master_Unit" sheetId="4" state="visible" r:id="rId4"/>
    <sheet name="Master_Produk" sheetId="5" state="visible" r:id="rId5"/>
    <sheet name="Master_Area" sheetId="6" state="visible" r:id="rId6"/>
    <sheet name="Master_Competitor" sheetId="7" state="visible" r:id="rId7"/>
    <sheet name="Master_Tim" sheetId="8" state="visible" r:id="rId8"/>
    <sheet name="Master_Indikator" sheetId="9" state="visible" r:id="rId9"/>
    <sheet name="Harga_Observasi" sheetId="10" state="visible" r:id="rId10"/>
    <sheet name="Competitive_Survey" sheetId="11" state="visible" r:id="rId11"/>
    <sheet name="Competitive_Rekap" sheetId="12" state="visible" r:id="rId12"/>
    <sheet name="Action_Plan" sheetId="13" state="visible" r:id="rId13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competitor_code">'Master_Competitor'!$A$2:$A$4</definedName>
    <definedName name="REF_owner_team_code">'Master_Tim'!$A$2:$A$4</definedName>
    <definedName name="REF_indicator_code">'Master_Indikator'!$A$2:$A$9</definedName>
    <definedName name="_xlnm._FilterDatabase" localSheetId="0" hidden="1">'BACA_DULU'!$A$1:$B$11</definedName>
    <definedName name="_xlnm._FilterDatabase" localSheetId="1" hidden="1">'Kamus_Data'!$A$1:$G$95</definedName>
    <definedName name="_xlnm._FilterDatabase" localSheetId="2" hidden="1">'Rencana_ETL'!$A$1:$G$11</definedName>
    <definedName name="_xlnm._FilterDatabase" localSheetId="3" hidden="1">'Master_Unit'!$A$1:$C$4</definedName>
    <definedName name="_xlnm._FilterDatabase" localSheetId="4" hidden="1">'Master_Produk'!$A$1:$D$3</definedName>
    <definedName name="_xlnm._FilterDatabase" localSheetId="5" hidden="1">'Master_Area'!$A$1:$C$3</definedName>
    <definedName name="_xlnm._FilterDatabase" localSheetId="6" hidden="1">'Master_Competitor'!$A$1:$C$4</definedName>
    <definedName name="_xlnm._FilterDatabase" localSheetId="7" hidden="1">'Master_Tim'!$A$1:$C$4</definedName>
    <definedName name="_xlnm._FilterDatabase" localSheetId="8" hidden="1">'Master_Indikator'!$A$1:$F$9</definedName>
    <definedName name="_xlnm._FilterDatabase" localSheetId="9" hidden="1">'Harga_Observasi'!$A$1:$Q$7</definedName>
    <definedName name="_xlnm._FilterDatabase" localSheetId="10" hidden="1">'Competitive_Survey'!$A$1:$Q$73</definedName>
    <definedName name="_xlnm._FilterDatabase" localSheetId="11" hidden="1">'Competitive_Rekap'!$A$1:$O$7</definedName>
    <definedName name="_xlnm._FilterDatabase" localSheetId="12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Competitor" displayName="T_Master_Competitor" ref="A1:C4" headerRowCount="1">
  <autoFilter ref="A1:C4"/>
  <tableColumns count="3">
    <tableColumn id="1" name="competitor_code"/>
    <tableColumn id="2" name="competitor_label"/>
    <tableColumn id="3" name="is_own"/>
  </tableColumns>
  <tableStyleInfo name="TableStyleMedium2" showRowStripes="1"/>
</table>
</file>

<file path=xl/tables/table5.xml><?xml version="1.0" encoding="utf-8"?>
<table xmlns="http://schemas.openxmlformats.org/spreadsheetml/2006/main" id="5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6.xml><?xml version="1.0" encoding="utf-8"?>
<table xmlns="http://schemas.openxmlformats.org/spreadsheetml/2006/main" id="6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7.xml><?xml version="1.0" encoding="utf-8"?>
<table xmlns="http://schemas.openxmlformats.org/spreadsheetml/2006/main" id="7" name="T_Harga_Observasi" displayName="T_Harga_Observasi" ref="A1:Q7" headerRowCount="1">
  <autoFilter ref="A1:Q7"/>
  <tableColumns count="17">
    <tableColumn id="1" name="price_observation_id"/>
    <tableColumn id="2" name="competitor_code"/>
    <tableColumn id="3" name="product_code"/>
    <tableColumn id="4" name="area_code"/>
    <tableColumn id="5" name="comparison_group"/>
    <tableColumn id="6" name="package_volume_ml"/>
    <tableColumn id="7" name="package_price_idr"/>
    <tableColumn id="8" name="normalized_price_idr_per_l"/>
    <tableColumn id="9" name="is_promo"/>
    <tableColumn id="10" name="is_in_stock"/>
    <tableColumn id="11" name="outlet_type"/>
    <tableColumn id="12" name="observed_at"/>
    <tableColumn id="13" name="period_start"/>
    <tableColumn id="14" name="period_end"/>
    <tableColumn id="15" name="evidence_ref"/>
    <tableColumn id="16" name="collected_at"/>
    <tableColumn id="17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Competitive_Survey" displayName="T_Competitive_Survey" ref="A1:Q73" headerRowCount="1">
  <autoFilter ref="A1:Q73"/>
  <tableColumns count="17">
    <tableColumn id="1" name="competitive_response_id"/>
    <tableColumn id="2" name="competitor_code"/>
    <tableColumn id="3" name="product_code"/>
    <tableColumn id="4" name="area_code"/>
    <tableColumn id="5" name="survey_version"/>
    <tableColumn id="6" name="surveyed_at"/>
    <tableColumn id="7" name="product_score"/>
    <tableColumn id="8" name="service_score"/>
    <tableColumn id="9" name="value_score"/>
    <tableColumn id="10" name="weight_product"/>
    <tableColumn id="11" name="weight_service"/>
    <tableColumn id="12" name="weight_value"/>
    <tableColumn id="13" name="weighted_score"/>
    <tableColumn id="14" name="sampling_method"/>
    <tableColumn id="15" name="period_start"/>
    <tableColumn id="16" name="period_end"/>
    <tableColumn id="17" name="collected_at"/>
  </tableColumns>
  <tableStyleInfo name="TableStyleMedium2" showRowStripes="1"/>
</table>
</file>

<file path=xl/tables/table9.xml><?xml version="1.0" encoding="utf-8"?>
<table xmlns="http://schemas.openxmlformats.org/spreadsheetml/2006/main" id="9" name="T_Competitive_Rekap" displayName="T_Competitive_Rekap" ref="A1:O7" headerRowCount="1">
  <autoFilter ref="A1:O7"/>
  <tableColumns count="15">
    <tableColumn id="1" name="competitive_summary_id"/>
    <tableColumn id="2" name="competitor_code"/>
    <tableColumn id="3" name="product_code"/>
    <tableColumn id="4" name="area_code"/>
    <tableColumn id="5" name="period_start"/>
    <tableColumn id="6" name="period_end"/>
    <tableColumn id="7" name="price_observation_id"/>
    <tableColumn id="8" name="normalized_price_idr_per_l"/>
    <tableColumn id="9" name="price_observed_at"/>
    <tableColumn id="10" name="sample_count"/>
    <tableColumn id="11" name="avg_service_score"/>
    <tableColumn id="12" name="avg_weighted_score"/>
    <tableColumn id="13" name="survey_version"/>
    <tableColumn id="14" name="sample_status"/>
    <tableColumn id="15" name="collected_at"/>
  </tableColumns>
  <tableStyleInfo name="TableStyleMedium2" showRowStripes="1"/>
</table>
</file>

<file path=xl/tables/table10.xml><?xml version="1.0" encoding="utf-8"?>
<table xmlns="http://schemas.openxmlformats.org/spreadsheetml/2006/main" id="10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Harga kemasan dinormalisasi per liter, waktu observasi dan skor produk/layanan/nilai.</t>
        </is>
      </c>
    </row>
    <row r="4">
      <c r="A4" s="2" t="inlineStr">
        <is>
          <t>Batas interpretasi</t>
        </is>
      </c>
      <c r="B4" s="2" t="inlineStr">
        <is>
          <t>Produk, ukuran, promo, outlet, area dan waktu harus sebanding. Harga titik observasi berbeda dari skor survei periode; skor/bobot contoh bukan ranking pasar nyata.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 = petunjuk, Dikecualikan dari ETL.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Master_Competitor</t>
        </is>
      </c>
      <c r="B12" s="2" t="inlineStr">
        <is>
          <t>competitor_code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OWN</t>
        </is>
      </c>
    </row>
    <row r="13">
      <c r="A13" s="2" t="inlineStr">
        <is>
          <t>Master_Competitor</t>
        </is>
      </c>
      <c r="B13" s="2" t="inlineStr">
        <is>
          <t>competitor_label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Organisasi Kita Contoh</t>
        </is>
      </c>
    </row>
    <row r="14">
      <c r="A14" s="2" t="inlineStr">
        <is>
          <t>Master_Competitor</t>
        </is>
      </c>
      <c r="B14" s="2" t="inlineStr">
        <is>
          <t>is_own</t>
        </is>
      </c>
      <c r="C14" s="2" t="inlineStr">
        <is>
          <t>boolean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True</t>
        </is>
      </c>
    </row>
    <row r="15">
      <c r="A15" s="2" t="inlineStr">
        <is>
          <t>Master_Tim</t>
        </is>
      </c>
      <c r="B15" s="2" t="inlineStr">
        <is>
          <t>owner_team_code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TEAM-CS</t>
        </is>
      </c>
    </row>
    <row r="16">
      <c r="A16" s="2" t="inlineStr">
        <is>
          <t>Master_Tim</t>
        </is>
      </c>
      <c r="B16" s="2" t="inlineStr">
        <is>
          <t>team_label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Tim Layanan</t>
        </is>
      </c>
    </row>
    <row r="17">
      <c r="A17" s="2" t="inlineStr">
        <is>
          <t>Master_Tim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UNIT-CS</t>
        </is>
      </c>
    </row>
    <row r="18">
      <c r="A18" s="2" t="inlineStr">
        <is>
          <t>Master_Indikator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1</v>
      </c>
      <c r="F18" s="2" t="inlineStr">
        <is>
          <t>Identitas stabil sesuai grain.</t>
        </is>
      </c>
      <c r="G18" s="2" t="inlineStr">
        <is>
          <t>REVENUE</t>
        </is>
      </c>
    </row>
    <row r="19">
      <c r="A19" s="2" t="inlineStr">
        <is>
          <t>Master_Indikator</t>
        </is>
      </c>
      <c r="B19" s="2" t="inlineStr">
        <is>
          <t>indicator_label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Pendapatan tercatat</t>
        </is>
      </c>
    </row>
    <row r="20">
      <c r="A20" s="2" t="inlineStr">
        <is>
          <t>Master_Indikator</t>
        </is>
      </c>
      <c r="B20" s="2" t="inlineStr">
        <is>
          <t>measurement_unit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IDR</t>
        </is>
      </c>
    </row>
    <row r="21">
      <c r="A21" s="2" t="inlineStr">
        <is>
          <t>Master_Indikator</t>
        </is>
      </c>
      <c r="B21" s="2" t="inlineStr">
        <is>
          <t>direction</t>
        </is>
      </c>
      <c r="C21" s="2" t="inlineStr">
        <is>
          <t>text</t>
        </is>
      </c>
      <c r="D21" s="2" t="b">
        <v>0</v>
      </c>
      <c r="E21" s="2" t="b">
        <v>0</v>
      </c>
      <c r="F21" s="2" t="inlineStr">
        <is>
          <t>HIGHER_IS_BETTER atau LOWER_IS_BETTER menentukan arah evaluasi.</t>
        </is>
      </c>
      <c r="G21" s="2" t="inlineStr">
        <is>
          <t>HIGHER_IS_BETTER</t>
        </is>
      </c>
    </row>
    <row r="22">
      <c r="A22" s="2" t="inlineStr">
        <is>
          <t>Master_Indikator</t>
        </is>
      </c>
      <c r="B22" s="2" t="inlineStr">
        <is>
          <t>aggregation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SUM</t>
        </is>
      </c>
    </row>
    <row r="23">
      <c r="A23" s="2" t="inlineStr">
        <is>
          <t>Master_Indikator</t>
        </is>
      </c>
      <c r="B23" s="2" t="inlineStr">
        <is>
          <t>definition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Jumlah pendapatan tercatat pada periode.</t>
        </is>
      </c>
    </row>
    <row r="24">
      <c r="A24" s="2" t="inlineStr">
        <is>
          <t>Harga_Observasi</t>
        </is>
      </c>
      <c r="B24" s="2" t="inlineStr">
        <is>
          <t>price_observation_id</t>
        </is>
      </c>
      <c r="C24" s="2" t="inlineStr">
        <is>
          <t>text</t>
        </is>
      </c>
      <c r="D24" s="2" t="b">
        <v>0</v>
      </c>
      <c r="E24" s="2" t="b">
        <v>1</v>
      </c>
      <c r="F24" s="2" t="inlineStr">
        <is>
          <t>Identitas stabil sesuai grain.</t>
        </is>
      </c>
      <c r="G24" s="2" t="inlineStr">
        <is>
          <t>PRICE-1-OWN</t>
        </is>
      </c>
    </row>
    <row r="25">
      <c r="A25" s="2" t="inlineStr">
        <is>
          <t>Harga_Observasi</t>
        </is>
      </c>
      <c r="B25" s="2" t="inlineStr">
        <is>
          <t>competitor_code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OWN</t>
        </is>
      </c>
    </row>
    <row r="26">
      <c r="A26" s="2" t="inlineStr">
        <is>
          <t>Harga_Observasi</t>
        </is>
      </c>
      <c r="B26" s="2" t="inlineStr">
        <is>
          <t>product_code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PROD-MILK</t>
        </is>
      </c>
    </row>
    <row r="27">
      <c r="A27" s="2" t="inlineStr">
        <is>
          <t>Harga_Observasi</t>
        </is>
      </c>
      <c r="B27" s="2" t="inlineStr">
        <is>
          <t>area_code</t>
        </is>
      </c>
      <c r="C27" s="2" t="inlineStr">
        <is>
          <t>text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AREA-A</t>
        </is>
      </c>
    </row>
    <row r="28">
      <c r="A28" s="2" t="inlineStr">
        <is>
          <t>Harga_Observasi</t>
        </is>
      </c>
      <c r="B28" s="2" t="inlineStr">
        <is>
          <t>comparison_group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PLAIN_MILK_EQUIVALENT</t>
        </is>
      </c>
    </row>
    <row r="29">
      <c r="A29" s="2" t="inlineStr">
        <is>
          <t>Harga_Observasi</t>
        </is>
      </c>
      <c r="B29" s="2" t="inlineStr">
        <is>
          <t>package_volume_ml</t>
        </is>
      </c>
      <c r="C29" s="2" t="inlineStr">
        <is>
          <t>bigint</t>
        </is>
      </c>
      <c r="D29" s="2" t="b">
        <v>0</v>
      </c>
      <c r="E29" s="2" t="b">
        <v>0</v>
      </c>
      <c r="F29" s="2" t="inlineStr">
        <is>
          <t>Isi kemasan dalam ml, harus lebih dari nol.</t>
        </is>
      </c>
      <c r="G29" s="2" t="inlineStr">
        <is>
          <t>1000</t>
        </is>
      </c>
    </row>
    <row r="30">
      <c r="A30" s="2" t="inlineStr">
        <is>
          <t>Harga_Observasi</t>
        </is>
      </c>
      <c r="B30" s="2" t="inlineStr">
        <is>
          <t>package_price_idr</t>
        </is>
      </c>
      <c r="C30" s="2" t="inlineStr">
        <is>
          <t>bigint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26000</t>
        </is>
      </c>
    </row>
    <row r="31">
      <c r="A31" s="2" t="inlineStr">
        <is>
          <t>Harga_Observasi</t>
        </is>
      </c>
      <c r="B31" s="2" t="inlineStr">
        <is>
          <t>normalized_price_idr_per_l</t>
        </is>
      </c>
      <c r="C31" s="2" t="inlineStr">
        <is>
          <t>numeric</t>
        </is>
      </c>
      <c r="D31" s="2" t="b">
        <v>0</v>
      </c>
      <c r="E31" s="2" t="b">
        <v>0</v>
      </c>
      <c r="F31" s="2" t="inlineStr">
        <is>
          <t>Harga kemasan * 1000 / volume_ml untuk perbandingan per liter.</t>
        </is>
      </c>
      <c r="G31" s="2" t="inlineStr">
        <is>
          <t>26000.0</t>
        </is>
      </c>
    </row>
    <row r="32">
      <c r="A32" s="2" t="inlineStr">
        <is>
          <t>Harga_Observasi</t>
        </is>
      </c>
      <c r="B32" s="2" t="inlineStr">
        <is>
          <t>is_promo</t>
        </is>
      </c>
      <c r="C32" s="2" t="inlineStr">
        <is>
          <t>boolean</t>
        </is>
      </c>
      <c r="D32" s="2" t="b">
        <v>0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False</t>
        </is>
      </c>
    </row>
    <row r="33">
      <c r="A33" s="2" t="inlineStr">
        <is>
          <t>Harga_Observasi</t>
        </is>
      </c>
      <c r="B33" s="2" t="inlineStr">
        <is>
          <t>is_in_stock</t>
        </is>
      </c>
      <c r="C33" s="2" t="inlineStr">
        <is>
          <t>boolean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True</t>
        </is>
      </c>
    </row>
    <row r="34">
      <c r="A34" s="2" t="inlineStr">
        <is>
          <t>Harga_Observasi</t>
        </is>
      </c>
      <c r="B34" s="2" t="inlineStr">
        <is>
          <t>outlet_type</t>
        </is>
      </c>
      <c r="C34" s="2" t="inlineStr">
        <is>
          <t>text</t>
        </is>
      </c>
      <c r="D34" s="2" t="b">
        <v>0</v>
      </c>
      <c r="E34" s="2" t="b">
        <v>0</v>
      </c>
      <c r="F34" s="2" t="inlineStr">
        <is>
          <t>Kode/label/atribut sesuai nama kolom dan grain; lihat Rencana_ETL serta definisi metrik. Jangan menjumlahkan rasio atau satuan berbeda.</t>
        </is>
      </c>
      <c r="G34" s="2" t="inlineStr">
        <is>
          <t>RETAIL_SIMULATED</t>
        </is>
      </c>
    </row>
    <row r="35">
      <c r="A35" s="2" t="inlineStr">
        <is>
          <t>Harga_Observasi</t>
        </is>
      </c>
      <c r="B35" s="2" t="inlineStr">
        <is>
          <t>observed_at</t>
        </is>
      </c>
      <c r="C35" s="2" t="inlineStr">
        <is>
          <t>timestamptz</t>
        </is>
      </c>
      <c r="D35" s="2" t="b">
        <v>0</v>
      </c>
      <c r="E35" s="2" t="b">
        <v>0</v>
      </c>
      <c r="F35" s="2" t="inlineStr">
        <is>
          <t>Waktu harga benar-benar diamati; bukan harga rata-rata periode.</t>
        </is>
      </c>
      <c r="G35" s="2" t="inlineStr">
        <is>
          <t>2026-01-28T09:00:00+07:00</t>
        </is>
      </c>
    </row>
    <row r="36">
      <c r="A36" s="2" t="inlineStr">
        <is>
          <t>Harga_Observasi</t>
        </is>
      </c>
      <c r="B36" s="2" t="inlineStr">
        <is>
          <t>period_start</t>
        </is>
      </c>
      <c r="C36" s="2" t="inlineStr">
        <is>
          <t>date</t>
        </is>
      </c>
      <c r="D36" s="2" t="b">
        <v>0</v>
      </c>
      <c r="E36" s="2" t="b">
        <v>0</v>
      </c>
      <c r="F36" s="2" t="inlineStr">
        <is>
          <t>Tanggal pertama periode bisnis yang dicakup; teks ISO yyyy-mm-dd.</t>
        </is>
      </c>
      <c r="G36" s="2" t="inlineStr">
        <is>
          <t>2026-01-01</t>
        </is>
      </c>
    </row>
    <row r="37">
      <c r="A37" s="2" t="inlineStr">
        <is>
          <t>Harga_Observasi</t>
        </is>
      </c>
      <c r="B37" s="2" t="inlineStr">
        <is>
          <t>period_end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terakhir periode bisnis yang dicakup, inklusif; bukan tanggal pengambilan.</t>
        </is>
      </c>
      <c r="G37" s="2" t="inlineStr">
        <is>
          <t>2026-01-31</t>
        </is>
      </c>
    </row>
    <row r="38">
      <c r="A38" s="2" t="inlineStr">
        <is>
          <t>Harga_Observasi</t>
        </is>
      </c>
      <c r="B38" s="2" t="inlineStr">
        <is>
          <t>evidence_ref</t>
        </is>
      </c>
      <c r="C38" s="2" t="inlineStr">
        <is>
          <t>text</t>
        </is>
      </c>
      <c r="D38" s="2" t="b">
        <v>0</v>
      </c>
      <c r="E38" s="2" t="b">
        <v>0</v>
      </c>
      <c r="F38" s="2" t="inlineStr">
        <is>
          <t>Referensi bukti simulasi; ganti dengan bukti nyata yang aksesnya sesuai.</t>
        </is>
      </c>
      <c r="G38" s="2" t="inlineStr">
        <is>
          <t>SIMULASI-PRICE-1-OWN</t>
        </is>
      </c>
    </row>
    <row r="39">
      <c r="A39" s="2" t="inlineStr">
        <is>
          <t>Harga_Observasi</t>
        </is>
      </c>
      <c r="B39" s="2" t="inlineStr">
        <is>
          <t>collected_at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Waktu pengambilan, bukan periode bisnis.</t>
        </is>
      </c>
      <c r="G39" s="2" t="inlineStr">
        <is>
          <t>2026-03-03T09:00:00+07:00</t>
        </is>
      </c>
    </row>
    <row r="40">
      <c r="A40" s="2" t="inlineStr">
        <is>
          <t>Harga_Observasi</t>
        </is>
      </c>
      <c r="B40" s="2" t="inlineStr">
        <is>
          <t>data_as_of_at</t>
        </is>
      </c>
      <c r="C40" s="2" t="inlineStr">
        <is>
          <t>timestamptz</t>
        </is>
      </c>
      <c r="D40" s="2" t="b">
        <v>0</v>
      </c>
      <c r="E40" s="2" t="b">
        <v>0</v>
      </c>
      <c r="F40" s="2" t="inlineStr">
        <is>
          <t>Batas kondisi data yang berlaku; timestamp teks ISO dengan offset.</t>
        </is>
      </c>
      <c r="G40" s="2" t="inlineStr">
        <is>
          <t>2026-01-28T09:00:00+07:00</t>
        </is>
      </c>
    </row>
    <row r="41">
      <c r="A41" s="2" t="inlineStr">
        <is>
          <t>Competitive_Survey</t>
        </is>
      </c>
      <c r="B41" s="2" t="inlineStr">
        <is>
          <t>competitive_response_id</t>
        </is>
      </c>
      <c r="C41" s="2" t="inlineStr">
        <is>
          <t>text</t>
        </is>
      </c>
      <c r="D41" s="2" t="b">
        <v>0</v>
      </c>
      <c r="E41" s="2" t="b">
        <v>1</v>
      </c>
      <c r="F41" s="2" t="inlineStr">
        <is>
          <t>Identitas stabil sesuai grain.</t>
        </is>
      </c>
      <c r="G41" s="2" t="inlineStr">
        <is>
          <t>CMP-SUR-1-OWN-00</t>
        </is>
      </c>
    </row>
    <row r="42">
      <c r="A42" s="2" t="inlineStr">
        <is>
          <t>Competitive_Survey</t>
        </is>
      </c>
      <c r="B42" s="2" t="inlineStr">
        <is>
          <t>competitor_code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OWN</t>
        </is>
      </c>
    </row>
    <row r="43">
      <c r="A43" s="2" t="inlineStr">
        <is>
          <t>Competitive_Survey</t>
        </is>
      </c>
      <c r="B43" s="2" t="inlineStr">
        <is>
          <t>product_code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PROD-MILK</t>
        </is>
      </c>
    </row>
    <row r="44">
      <c r="A44" s="2" t="inlineStr">
        <is>
          <t>Competitive_Survey</t>
        </is>
      </c>
      <c r="B44" s="2" t="inlineStr">
        <is>
          <t>area_code</t>
        </is>
      </c>
      <c r="C44" s="2" t="inlineStr">
        <is>
          <t>text</t>
        </is>
      </c>
      <c r="D44" s="2" t="b">
        <v>0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AREA-A</t>
        </is>
      </c>
    </row>
    <row r="45">
      <c r="A45" s="2" t="inlineStr">
        <is>
          <t>Competitive_Survey</t>
        </is>
      </c>
      <c r="B45" s="2" t="inlineStr">
        <is>
          <t>survey_version</t>
        </is>
      </c>
      <c r="C45" s="2" t="inlineStr">
        <is>
          <t>text</t>
        </is>
      </c>
      <c r="D45" s="2" t="b">
        <v>0</v>
      </c>
      <c r="E45" s="2" t="b">
        <v>0</v>
      </c>
      <c r="F45" s="2" t="inlineStr">
        <is>
          <t>Kode/label/atribut sesuai nama kolom dan grain; lihat Rencana_ETL serta definisi metrik. Jangan menjumlahkan rasio atau satuan berbeda.</t>
        </is>
      </c>
      <c r="G45" s="2" t="inlineStr">
        <is>
          <t>COMPARE-5-V1</t>
        </is>
      </c>
    </row>
    <row r="46">
      <c r="A46" s="2" t="inlineStr">
        <is>
          <t>Competitive_Survey</t>
        </is>
      </c>
      <c r="B46" s="2" t="inlineStr">
        <is>
          <t>surveyed_at</t>
        </is>
      </c>
      <c r="C46" s="2" t="inlineStr">
        <is>
          <t>timestamptz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2026-01-15T09:00:00+07:00</t>
        </is>
      </c>
    </row>
    <row r="47">
      <c r="A47" s="2" t="inlineStr">
        <is>
          <t>Competitive_Survey</t>
        </is>
      </c>
      <c r="B47" s="2" t="inlineStr">
        <is>
          <t>product_score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3</t>
        </is>
      </c>
    </row>
    <row r="48">
      <c r="A48" s="2" t="inlineStr">
        <is>
          <t>Competitive_Survey</t>
        </is>
      </c>
      <c r="B48" s="2" t="inlineStr">
        <is>
          <t>service_score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2</t>
        </is>
      </c>
    </row>
    <row r="49">
      <c r="A49" s="2" t="inlineStr">
        <is>
          <t>Competitive_Survey</t>
        </is>
      </c>
      <c r="B49" s="2" t="inlineStr">
        <is>
          <t>value_score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3</t>
        </is>
      </c>
    </row>
    <row r="50">
      <c r="A50" s="2" t="inlineStr">
        <is>
          <t>Competitive_Survey</t>
        </is>
      </c>
      <c r="B50" s="2" t="inlineStr">
        <is>
          <t>weight_product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0.5</t>
        </is>
      </c>
    </row>
    <row r="51">
      <c r="A51" s="2" t="inlineStr">
        <is>
          <t>Competitive_Survey</t>
        </is>
      </c>
      <c r="B51" s="2" t="inlineStr">
        <is>
          <t>weight_service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0.3</t>
        </is>
      </c>
    </row>
    <row r="52">
      <c r="A52" s="2" t="inlineStr">
        <is>
          <t>Competitive_Survey</t>
        </is>
      </c>
      <c r="B52" s="2" t="inlineStr">
        <is>
          <t>weight_value</t>
        </is>
      </c>
      <c r="C52" s="2" t="inlineStr">
        <is>
          <t>numeric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0.2</t>
        </is>
      </c>
    </row>
    <row r="53">
      <c r="A53" s="2" t="inlineStr">
        <is>
          <t>Competitive_Survey</t>
        </is>
      </c>
      <c r="B53" s="2" t="inlineStr">
        <is>
          <t>weighted_score</t>
        </is>
      </c>
      <c r="C53" s="2" t="inlineStr">
        <is>
          <t>numeric</t>
        </is>
      </c>
      <c r="D53" s="2" t="b">
        <v>0</v>
      </c>
      <c r="E53" s="2" t="b">
        <v>0</v>
      </c>
      <c r="F53" s="2" t="inlineStr">
        <is>
          <t>Skor produk*0.5 + layanan*0.3 + nilai*0.2, skala 1 sampai 5.</t>
        </is>
      </c>
      <c r="G53" s="2" t="inlineStr">
        <is>
          <t>2.7</t>
        </is>
      </c>
    </row>
    <row r="54">
      <c r="A54" s="2" t="inlineStr">
        <is>
          <t>Competitive_Survey</t>
        </is>
      </c>
      <c r="B54" s="2" t="inlineStr">
        <is>
          <t>sampling_method</t>
        </is>
      </c>
      <c r="C54" s="2" t="inlineStr">
        <is>
          <t>text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MATCHED_SCRIPT_SIMULATED</t>
        </is>
      </c>
    </row>
    <row r="55">
      <c r="A55" s="2" t="inlineStr">
        <is>
          <t>Competitive_Survey</t>
        </is>
      </c>
      <c r="B55" s="2" t="inlineStr">
        <is>
          <t>period_start</t>
        </is>
      </c>
      <c r="C55" s="2" t="inlineStr">
        <is>
          <t>date</t>
        </is>
      </c>
      <c r="D55" s="2" t="b">
        <v>0</v>
      </c>
      <c r="E55" s="2" t="b">
        <v>0</v>
      </c>
      <c r="F55" s="2" t="inlineStr">
        <is>
          <t>Tanggal pertama periode bisnis yang dicakup; teks ISO yyyy-mm-dd.</t>
        </is>
      </c>
      <c r="G55" s="2" t="inlineStr">
        <is>
          <t>2026-01-01</t>
        </is>
      </c>
    </row>
    <row r="56">
      <c r="A56" s="2" t="inlineStr">
        <is>
          <t>Competitive_Survey</t>
        </is>
      </c>
      <c r="B56" s="2" t="inlineStr">
        <is>
          <t>period_end</t>
        </is>
      </c>
      <c r="C56" s="2" t="inlineStr">
        <is>
          <t>date</t>
        </is>
      </c>
      <c r="D56" s="2" t="b">
        <v>0</v>
      </c>
      <c r="E56" s="2" t="b">
        <v>0</v>
      </c>
      <c r="F56" s="2" t="inlineStr">
        <is>
          <t>Tanggal terakhir periode bisnis yang dicakup, inklusif; bukan tanggal pengambilan.</t>
        </is>
      </c>
      <c r="G56" s="2" t="inlineStr">
        <is>
          <t>2026-01-31</t>
        </is>
      </c>
    </row>
    <row r="57">
      <c r="A57" s="2" t="inlineStr">
        <is>
          <t>Competitive_Survey</t>
        </is>
      </c>
      <c r="B57" s="2" t="inlineStr">
        <is>
          <t>collected_at</t>
        </is>
      </c>
      <c r="C57" s="2" t="inlineStr">
        <is>
          <t>timestamptz</t>
        </is>
      </c>
      <c r="D57" s="2" t="b">
        <v>0</v>
      </c>
      <c r="E57" s="2" t="b">
        <v>0</v>
      </c>
      <c r="F57" s="2" t="inlineStr">
        <is>
          <t>Waktu pengambilan, bukan periode bisnis.</t>
        </is>
      </c>
      <c r="G57" s="2" t="inlineStr">
        <is>
          <t>2026-03-03T09:00:00+07:00</t>
        </is>
      </c>
    </row>
    <row r="58">
      <c r="A58" s="2" t="inlineStr">
        <is>
          <t>Competitive_Rekap</t>
        </is>
      </c>
      <c r="B58" s="2" t="inlineStr">
        <is>
          <t>competitive_summary_id</t>
        </is>
      </c>
      <c r="C58" s="2" t="inlineStr">
        <is>
          <t>text</t>
        </is>
      </c>
      <c r="D58" s="2" t="b">
        <v>0</v>
      </c>
      <c r="E58" s="2" t="b">
        <v>1</v>
      </c>
      <c r="F58" s="2" t="inlineStr">
        <is>
          <t>Identitas stabil sesuai grain.</t>
        </is>
      </c>
      <c r="G58" s="2" t="inlineStr">
        <is>
          <t>COMP-1-OWN</t>
        </is>
      </c>
    </row>
    <row r="59">
      <c r="A59" s="2" t="inlineStr">
        <is>
          <t>Competitive_Rekap</t>
        </is>
      </c>
      <c r="B59" s="2" t="inlineStr">
        <is>
          <t>competitor_code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OWN</t>
        </is>
      </c>
    </row>
    <row r="60">
      <c r="A60" s="2" t="inlineStr">
        <is>
          <t>Competitive_Rekap</t>
        </is>
      </c>
      <c r="B60" s="2" t="inlineStr">
        <is>
          <t>product_code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PROD-MILK</t>
        </is>
      </c>
    </row>
    <row r="61">
      <c r="A61" s="2" t="inlineStr">
        <is>
          <t>Competitive_Rekap</t>
        </is>
      </c>
      <c r="B61" s="2" t="inlineStr">
        <is>
          <t>area_code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AREA-A</t>
        </is>
      </c>
    </row>
    <row r="62">
      <c r="A62" s="2" t="inlineStr">
        <is>
          <t>Competitive_Rekap</t>
        </is>
      </c>
      <c r="B62" s="2" t="inlineStr">
        <is>
          <t>period_start</t>
        </is>
      </c>
      <c r="C62" s="2" t="inlineStr">
        <is>
          <t>date</t>
        </is>
      </c>
      <c r="D62" s="2" t="b">
        <v>0</v>
      </c>
      <c r="E62" s="2" t="b">
        <v>0</v>
      </c>
      <c r="F62" s="2" t="inlineStr">
        <is>
          <t>Tanggal pertama periode bisnis yang dicakup; teks ISO yyyy-mm-dd.</t>
        </is>
      </c>
      <c r="G62" s="2" t="inlineStr">
        <is>
          <t>2026-01-01</t>
        </is>
      </c>
    </row>
    <row r="63">
      <c r="A63" s="2" t="inlineStr">
        <is>
          <t>Competitive_Rekap</t>
        </is>
      </c>
      <c r="B63" s="2" t="inlineStr">
        <is>
          <t>period_end</t>
        </is>
      </c>
      <c r="C63" s="2" t="inlineStr">
        <is>
          <t>date</t>
        </is>
      </c>
      <c r="D63" s="2" t="b">
        <v>0</v>
      </c>
      <c r="E63" s="2" t="b">
        <v>0</v>
      </c>
      <c r="F63" s="2" t="inlineStr">
        <is>
          <t>Tanggal terakhir periode bisnis yang dicakup, inklusif; bukan tanggal pengambilan.</t>
        </is>
      </c>
      <c r="G63" s="2" t="inlineStr">
        <is>
          <t>2026-01-31</t>
        </is>
      </c>
    </row>
    <row r="64">
      <c r="A64" s="2" t="inlineStr">
        <is>
          <t>Competitive_Rekap</t>
        </is>
      </c>
      <c r="B64" s="2" t="inlineStr">
        <is>
          <t>price_observation_id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PRICE-1-OWN</t>
        </is>
      </c>
    </row>
    <row r="65">
      <c r="A65" s="2" t="inlineStr">
        <is>
          <t>Competitive_Rekap</t>
        </is>
      </c>
      <c r="B65" s="2" t="inlineStr">
        <is>
          <t>normalized_price_idr_per_l</t>
        </is>
      </c>
      <c r="C65" s="2" t="inlineStr">
        <is>
          <t>numeric</t>
        </is>
      </c>
      <c r="D65" s="2" t="b">
        <v>0</v>
      </c>
      <c r="E65" s="2" t="b">
        <v>0</v>
      </c>
      <c r="F65" s="2" t="inlineStr">
        <is>
          <t>Harga kemasan * 1000 / volume_ml untuk perbandingan per liter.</t>
        </is>
      </c>
      <c r="G65" s="2" t="inlineStr">
        <is>
          <t>26000.0</t>
        </is>
      </c>
    </row>
    <row r="66">
      <c r="A66" s="2" t="inlineStr">
        <is>
          <t>Competitive_Rekap</t>
        </is>
      </c>
      <c r="B66" s="2" t="inlineStr">
        <is>
          <t>price_observed_at</t>
        </is>
      </c>
      <c r="C66" s="2" t="inlineStr">
        <is>
          <t>timestamptz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2026-01-28T09:00:00+07:00</t>
        </is>
      </c>
    </row>
    <row r="67">
      <c r="A67" s="2" t="inlineStr">
        <is>
          <t>Competitive_Rekap</t>
        </is>
      </c>
      <c r="B67" s="2" t="inlineStr">
        <is>
          <t>sample_count</t>
        </is>
      </c>
      <c r="C67" s="2" t="inlineStr">
        <is>
          <t>bigint</t>
        </is>
      </c>
      <c r="D67" s="2" t="b">
        <v>0</v>
      </c>
      <c r="E67" s="2" t="b">
        <v>0</v>
      </c>
      <c r="F67" s="2" t="inlineStr">
        <is>
          <t>Jumlah bukti/respons yang menjadi dasar angka; sampel kecil bukan bukti populasi.</t>
        </is>
      </c>
      <c r="G67" s="2" t="inlineStr">
        <is>
          <t>12</t>
        </is>
      </c>
    </row>
    <row r="68">
      <c r="A68" s="2" t="inlineStr">
        <is>
          <t>Competitive_Rekap</t>
        </is>
      </c>
      <c r="B68" s="2" t="inlineStr">
        <is>
          <t>avg_service_score</t>
        </is>
      </c>
      <c r="C68" s="2" t="inlineStr">
        <is>
          <t>numeric</t>
        </is>
      </c>
      <c r="D68" s="2" t="b">
        <v>0</v>
      </c>
      <c r="E68" s="2" t="b">
        <v>0</v>
      </c>
      <c r="F68" s="2" t="inlineStr">
        <is>
          <t>Kode/label/atribut sesuai nama kolom dan grain; lihat Rencana_ETL serta definisi metrik. Jangan menjumlahkan rasio atau satuan berbeda.</t>
        </is>
      </c>
      <c r="G68" s="2" t="inlineStr">
        <is>
          <t>3.25</t>
        </is>
      </c>
    </row>
    <row r="69">
      <c r="A69" s="2" t="inlineStr">
        <is>
          <t>Competitive_Rekap</t>
        </is>
      </c>
      <c r="B69" s="2" t="inlineStr">
        <is>
          <t>avg_weighted_score</t>
        </is>
      </c>
      <c r="C69" s="2" t="inlineStr">
        <is>
          <t>numeric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3.675</t>
        </is>
      </c>
    </row>
    <row r="70">
      <c r="A70" s="2" t="inlineStr">
        <is>
          <t>Competitive_Rekap</t>
        </is>
      </c>
      <c r="B70" s="2" t="inlineStr">
        <is>
          <t>survey_version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COMPARE-5-V1</t>
        </is>
      </c>
    </row>
    <row r="71">
      <c r="A71" s="2" t="inlineStr">
        <is>
          <t>Competitive_Rekap</t>
        </is>
      </c>
      <c r="B71" s="2" t="inlineStr">
        <is>
          <t>sample_status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SMALL_SAMPLE</t>
        </is>
      </c>
    </row>
    <row r="72">
      <c r="A72" s="2" t="inlineStr">
        <is>
          <t>Competitive_Rekap</t>
        </is>
      </c>
      <c r="B72" s="2" t="inlineStr">
        <is>
          <t>collected_at</t>
        </is>
      </c>
      <c r="C72" s="2" t="inlineStr">
        <is>
          <t>timestamptz</t>
        </is>
      </c>
      <c r="D72" s="2" t="b">
        <v>0</v>
      </c>
      <c r="E72" s="2" t="b">
        <v>0</v>
      </c>
      <c r="F72" s="2" t="inlineStr">
        <is>
          <t>Waktu pengambilan, bukan periode bisnis.</t>
        </is>
      </c>
      <c r="G72" s="2" t="inlineStr">
        <is>
          <t>2026-03-03T09:00:00+07:00</t>
        </is>
      </c>
    </row>
    <row r="73">
      <c r="A73" s="2" t="inlineStr">
        <is>
          <t>Action_Plan</t>
        </is>
      </c>
      <c r="B73" s="2" t="inlineStr">
        <is>
          <t>action_id</t>
        </is>
      </c>
      <c r="C73" s="2" t="inlineStr">
        <is>
          <t>text</t>
        </is>
      </c>
      <c r="D73" s="2" t="b">
        <v>0</v>
      </c>
      <c r="E73" s="2" t="b">
        <v>1</v>
      </c>
      <c r="F73" s="2" t="inlineStr">
        <is>
          <t>Identitas stabil sesuai grain.</t>
        </is>
      </c>
      <c r="G73" s="2" t="inlineStr">
        <is>
          <t>ACT-COMP-01</t>
        </is>
      </c>
    </row>
    <row r="74">
      <c r="A74" s="2" t="inlineStr">
        <is>
          <t>Action_Plan</t>
        </is>
      </c>
      <c r="B74" s="2" t="inlineStr">
        <is>
          <t>source_sheet</t>
        </is>
      </c>
      <c r="C74" s="2" t="inlineStr">
        <is>
          <t>text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Competitive_Rekap</t>
        </is>
      </c>
    </row>
    <row r="75">
      <c r="A75" s="2" t="inlineStr">
        <is>
          <t>Action_Plan</t>
        </is>
      </c>
      <c r="B75" s="2" t="inlineStr">
        <is>
          <t>source_record_id</t>
        </is>
      </c>
      <c r="C75" s="2" t="inlineStr">
        <is>
          <t>text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COMP-1-OWN</t>
        </is>
      </c>
    </row>
    <row r="76">
      <c r="A76" s="2" t="inlineStr">
        <is>
          <t>Action_Plan</t>
        </is>
      </c>
      <c r="B76" s="2" t="inlineStr">
        <is>
          <t>unit_code</t>
        </is>
      </c>
      <c r="C76" s="2" t="inlineStr">
        <is>
          <t>text</t>
        </is>
      </c>
      <c r="D76" s="2" t="b">
        <v>0</v>
      </c>
      <c r="E76" s="2" t="b">
        <v>0</v>
      </c>
      <c r="F76" s="2" t="inlineStr">
        <is>
          <t>Kode/label/atribut sesuai nama kolom dan grain; lihat Rencana_ETL serta definisi metrik. Jangan menjumlahkan rasio atau satuan berbeda.</t>
        </is>
      </c>
      <c r="G76" s="2" t="inlineStr">
        <is>
          <t>UNIT-CS</t>
        </is>
      </c>
    </row>
    <row r="77">
      <c r="A77" s="2" t="inlineStr">
        <is>
          <t>Action_Plan</t>
        </is>
      </c>
      <c r="B77" s="2" t="inlineStr">
        <is>
          <t>indicator_code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Kode/label/atribut sesuai nama kolom dan grain; lihat Rencana_ETL serta definisi metrik. Jangan menjumlahkan rasio atau satuan berbeda.</t>
        </is>
      </c>
      <c r="G77" s="2" t="inlineStr">
        <is>
          <t>SERVICE_SCORE</t>
        </is>
      </c>
    </row>
    <row r="78">
      <c r="A78" s="2" t="inlineStr">
        <is>
          <t>Action_Plan</t>
        </is>
      </c>
      <c r="B78" s="2" t="inlineStr">
        <is>
          <t>period_start</t>
        </is>
      </c>
      <c r="C78" s="2" t="inlineStr">
        <is>
          <t>date</t>
        </is>
      </c>
      <c r="D78" s="2" t="b">
        <v>0</v>
      </c>
      <c r="E78" s="2" t="b">
        <v>0</v>
      </c>
      <c r="F78" s="2" t="inlineStr">
        <is>
          <t>Tanggal pertama periode bisnis yang dicakup; teks ISO yyyy-mm-dd.</t>
        </is>
      </c>
      <c r="G78" s="2" t="inlineStr">
        <is>
          <t>2026-01-01</t>
        </is>
      </c>
    </row>
    <row r="79">
      <c r="A79" s="2" t="inlineStr">
        <is>
          <t>Action_Plan</t>
        </is>
      </c>
      <c r="B79" s="2" t="inlineStr">
        <is>
          <t>period_end</t>
        </is>
      </c>
      <c r="C79" s="2" t="inlineStr">
        <is>
          <t>date</t>
        </is>
      </c>
      <c r="D79" s="2" t="b">
        <v>0</v>
      </c>
      <c r="E79" s="2" t="b">
        <v>0</v>
      </c>
      <c r="F79" s="2" t="inlineStr">
        <is>
          <t>Tanggal terakhir periode bisnis yang dicakup, inklusif; bukan tanggal pengambilan.</t>
        </is>
      </c>
      <c r="G79" s="2" t="inlineStr">
        <is>
          <t>2026-01-31</t>
        </is>
      </c>
    </row>
    <row r="80">
      <c r="A80" s="2" t="inlineStr">
        <is>
          <t>Action_Plan</t>
        </is>
      </c>
      <c r="B80" s="2" t="inlineStr">
        <is>
          <t>baseline_value</t>
        </is>
      </c>
      <c r="C80" s="2" t="inlineStr">
        <is>
          <t>numeric</t>
        </is>
      </c>
      <c r="D80" s="2" t="b">
        <v>0</v>
      </c>
      <c r="E80" s="2" t="b">
        <v>0</v>
      </c>
      <c r="F80" s="2" t="inlineStr">
        <is>
          <t>Nilai awal yang dibekukan pada periode bukti sebelum tindakan.</t>
        </is>
      </c>
      <c r="G80" s="2" t="inlineStr">
        <is>
          <t>3.25</t>
        </is>
      </c>
    </row>
    <row r="81">
      <c r="A81" s="2" t="inlineStr">
        <is>
          <t>Action_Plan</t>
        </is>
      </c>
      <c r="B81" s="2" t="inlineStr">
        <is>
          <t>target_value</t>
        </is>
      </c>
      <c r="C81" s="2" t="inlineStr">
        <is>
          <t>numeric</t>
        </is>
      </c>
      <c r="D81" s="2" t="b">
        <v>0</v>
      </c>
      <c r="E81" s="2" t="b">
        <v>0</v>
      </c>
      <c r="F81" s="2" t="inlineStr">
        <is>
          <t>Target yang disetujui pada satuan dan arah indikator; target contoh harus diganti/direview.</t>
        </is>
      </c>
      <c r="G81" s="2" t="inlineStr">
        <is>
          <t>4.0</t>
        </is>
      </c>
    </row>
    <row r="82">
      <c r="A82" s="2" t="inlineStr">
        <is>
          <t>Action_Plan</t>
        </is>
      </c>
      <c r="B82" s="2" t="inlineStr">
        <is>
          <t>measurement_unit</t>
        </is>
      </c>
      <c r="C82" s="2" t="inlineStr">
        <is>
          <t>text</t>
        </is>
      </c>
      <c r="D82" s="2" t="b">
        <v>0</v>
      </c>
      <c r="E82" s="2" t="b">
        <v>0</v>
      </c>
      <c r="F82" s="2" t="inlineStr">
        <is>
          <t>Kode/label/atribut sesuai nama kolom dan grain; lihat Rencana_ETL serta definisi metrik. Jangan menjumlahkan rasio atau satuan berbeda.</t>
        </is>
      </c>
      <c r="G82" s="2" t="inlineStr">
        <is>
          <t>SCORE_1_5</t>
        </is>
      </c>
    </row>
    <row r="83">
      <c r="A83" s="2" t="inlineStr">
        <is>
          <t>Action_Plan</t>
        </is>
      </c>
      <c r="B83" s="2" t="inlineStr">
        <is>
          <t>finding</t>
        </is>
      </c>
      <c r="C83" s="2" t="inlineStr">
        <is>
          <t>text</t>
        </is>
      </c>
      <c r="D83" s="2" t="b">
        <v>0</v>
      </c>
      <c r="E83" s="2" t="b">
        <v>0</v>
      </c>
      <c r="F83" s="2" t="inlineStr">
        <is>
          <t>Kode/label/atribut sesuai nama kolom dan grain; lihat Rencana_ETL serta definisi metrik. Jangan menjumlahkan rasio atau satuan berbeda.</t>
        </is>
      </c>
      <c r="G83" s="2" t="inlineStr">
        <is>
          <t>Skor layanan organisasi contoh perlu dibandingkan pada metode yang sama.</t>
        </is>
      </c>
    </row>
    <row r="84">
      <c r="A84" s="2" t="inlineStr">
        <is>
          <t>Action_Plan</t>
        </is>
      </c>
      <c r="B84" s="2" t="inlineStr">
        <is>
          <t>cause_hypothesis</t>
        </is>
      </c>
      <c r="C84" s="2" t="inlineStr">
        <is>
          <t>text</t>
        </is>
      </c>
      <c r="D84" s="2" t="b">
        <v>0</v>
      </c>
      <c r="E84" s="2" t="b">
        <v>0</v>
      </c>
      <c r="F84" s="2" t="inlineStr">
        <is>
          <t>Kode/label/atribut sesuai nama kolom dan grain; lihat Rencana_ETL serta definisi metrik. Jangan menjumlahkan rasio atau satuan berbeda.</t>
        </is>
      </c>
      <c r="G84" s="2" t="inlineStr">
        <is>
          <t>Proses layanan mungkin berpengaruh; persepsi brand dan bias sampel belum dieliminasi.</t>
        </is>
      </c>
    </row>
    <row r="85">
      <c r="A85" s="2" t="inlineStr">
        <is>
          <t>Action_Plan</t>
        </is>
      </c>
      <c r="B85" s="2" t="inlineStr">
        <is>
          <t>cause_status</t>
        </is>
      </c>
      <c r="C85" s="2" t="inlineStr">
        <is>
          <t>text</t>
        </is>
      </c>
      <c r="D85" s="2" t="b">
        <v>0</v>
      </c>
      <c r="E85" s="2" t="b">
        <v>0</v>
      </c>
      <c r="F85" s="2" t="inlineStr">
        <is>
          <t>UNVERIFIED menunjukkan hipotesis belum menjadi akar penyebab yang terbukti.</t>
        </is>
      </c>
      <c r="G85" s="2" t="inlineStr">
        <is>
          <t>UNVERIFIED</t>
        </is>
      </c>
    </row>
    <row r="86">
      <c r="A86" s="2" t="inlineStr">
        <is>
          <t>Action_Plan</t>
        </is>
      </c>
      <c r="B86" s="2" t="inlineStr">
        <is>
          <t>evidence_ref</t>
        </is>
      </c>
      <c r="C86" s="2" t="inlineStr">
        <is>
          <t>text</t>
        </is>
      </c>
      <c r="D86" s="2" t="b">
        <v>0</v>
      </c>
      <c r="E86" s="2" t="b">
        <v>0</v>
      </c>
      <c r="F86" s="2" t="inlineStr">
        <is>
          <t>Referensi bukti simulasi; ganti dengan bukti nyata yang aksesnya sesuai.</t>
        </is>
      </c>
      <c r="G86" s="2" t="inlineStr">
        <is>
          <t>SIMULASI::Competitive_Rekap::COMP-1-OWN</t>
        </is>
      </c>
    </row>
    <row r="87">
      <c r="A87" s="2" t="inlineStr">
        <is>
          <t>Action_Plan</t>
        </is>
      </c>
      <c r="B87" s="2" t="inlineStr">
        <is>
          <t>action_description</t>
        </is>
      </c>
      <c r="C87" s="2" t="inlineStr">
        <is>
          <t>text</t>
        </is>
      </c>
      <c r="D87" s="2" t="b">
        <v>0</v>
      </c>
      <c r="E87" s="2" t="b">
        <v>0</v>
      </c>
      <c r="F87" s="2" t="inlineStr">
        <is>
          <t>Kode/label/atribut sesuai nama kolom dan grain; lihat Rencana_ETL serta definisi metrik. Jangan menjumlahkan rasio atau satuan berbeda.</t>
        </is>
      </c>
      <c r="G87" s="2" t="inlineStr">
        <is>
          <t>Verifikasi kesetaraan produk/outlet dan tambah sampel; audit proses layanan sebelum uji perbaikan. Jangan mengubah harga hanya dari skor contoh.</t>
        </is>
      </c>
    </row>
    <row r="88">
      <c r="A88" s="2" t="inlineStr">
        <is>
          <t>Action_Plan</t>
        </is>
      </c>
      <c r="B88" s="2" t="inlineStr">
        <is>
          <t>owner_team_code</t>
        </is>
      </c>
      <c r="C88" s="2" t="inlineStr">
        <is>
          <t>text</t>
        </is>
      </c>
      <c r="D88" s="2" t="b">
        <v>0</v>
      </c>
      <c r="E88" s="2" t="b">
        <v>0</v>
      </c>
      <c r="F88" s="2" t="inlineStr">
        <is>
          <t>Kode/label/atribut sesuai nama kolom dan grain; lihat Rencana_ETL serta definisi metrik. Jangan menjumlahkan rasio atau satuan berbeda.</t>
        </is>
      </c>
      <c r="G88" s="2" t="inlineStr">
        <is>
          <t>TEAM-CS</t>
        </is>
      </c>
    </row>
    <row r="89">
      <c r="A89" s="2" t="inlineStr">
        <is>
          <t>Action_Plan</t>
        </is>
      </c>
      <c r="B89" s="2" t="inlineStr">
        <is>
          <t>due_date</t>
        </is>
      </c>
      <c r="C89" s="2" t="inlineStr">
        <is>
          <t>date</t>
        </is>
      </c>
      <c r="D89" s="2" t="b">
        <v>0</v>
      </c>
      <c r="E89" s="2" t="b">
        <v>0</v>
      </c>
      <c r="F89" s="2" t="inlineStr">
        <is>
          <t>Tenggat tindakan bisnis, bukan periode pengukuran.</t>
        </is>
      </c>
      <c r="G89" s="2" t="inlineStr">
        <is>
          <t>2026-02-15</t>
        </is>
      </c>
    </row>
    <row r="90">
      <c r="A90" s="2" t="inlineStr">
        <is>
          <t>Action_Plan</t>
        </is>
      </c>
      <c r="B90" s="2" t="inlineStr">
        <is>
          <t>action_status</t>
        </is>
      </c>
      <c r="C90" s="2" t="inlineStr">
        <is>
          <t>text</t>
        </is>
      </c>
      <c r="D90" s="2" t="b">
        <v>0</v>
      </c>
      <c r="E90" s="2" t="b">
        <v>0</v>
      </c>
      <c r="F90" s="2" t="inlineStr">
        <is>
          <t>Kode/label/atribut sesuai nama kolom dan grain; lihat Rencana_ETL serta definisi metrik. Jangan menjumlahkan rasio atau satuan berbeda.</t>
        </is>
      </c>
      <c r="G90" s="2" t="inlineStr">
        <is>
          <t>PLANNED</t>
        </is>
      </c>
    </row>
    <row r="91">
      <c r="A91" s="2" t="inlineStr">
        <is>
          <t>Action_Plan</t>
        </is>
      </c>
      <c r="B91" s="2" t="inlineStr">
        <is>
          <t>followup_start</t>
        </is>
      </c>
      <c r="C91" s="2" t="inlineStr">
        <is>
          <t>date</t>
        </is>
      </c>
      <c r="D91" s="2" t="b">
        <v>0</v>
      </c>
      <c r="E91" s="2" t="b">
        <v>0</v>
      </c>
      <c r="F91" s="2" t="inlineStr">
        <is>
          <t>Kode/label/atribut sesuai nama kolom dan grain; lihat Rencana_ETL serta definisi metrik. Jangan menjumlahkan rasio atau satuan berbeda.</t>
        </is>
      </c>
      <c r="G91" s="2" t="inlineStr">
        <is>
          <t>2026-02-01</t>
        </is>
      </c>
    </row>
    <row r="92">
      <c r="A92" s="2" t="inlineStr">
        <is>
          <t>Action_Plan</t>
        </is>
      </c>
      <c r="B92" s="2" t="inlineStr">
        <is>
          <t>followup_end</t>
        </is>
      </c>
      <c r="C92" s="2" t="inlineStr">
        <is>
          <t>date</t>
        </is>
      </c>
      <c r="D92" s="2" t="b">
        <v>0</v>
      </c>
      <c r="E92" s="2" t="b">
        <v>0</v>
      </c>
      <c r="F92" s="2" t="inlineStr">
        <is>
          <t>Kode/label/atribut sesuai nama kolom dan grain; lihat Rencana_ETL serta definisi metrik. Jangan menjumlahkan rasio atau satuan berbeda.</t>
        </is>
      </c>
      <c r="G92" s="2" t="inlineStr">
        <is>
          <t>2026-02-28</t>
        </is>
      </c>
    </row>
    <row r="93">
      <c r="A93" s="2" t="inlineStr">
        <is>
          <t>Action_Plan</t>
        </is>
      </c>
      <c r="B93" s="2" t="inlineStr">
        <is>
          <t>followup_value</t>
        </is>
      </c>
      <c r="C93" s="2" t="inlineStr">
        <is>
          <t>numeric</t>
        </is>
      </c>
      <c r="D93" s="2" t="b">
        <v>1</v>
      </c>
      <c r="E93" s="2" t="b">
        <v>0</v>
      </c>
      <c r="F93" s="2" t="inlineStr">
        <is>
          <t>Hasil ukur setelah tindakan; NULL jika belum dievaluasi, bukan 0.</t>
        </is>
      </c>
      <c r="G93" s="2" t="inlineStr">
        <is>
          <t>Kosong: belum diukur/tidak berlaku; bukan 0</t>
        </is>
      </c>
    </row>
    <row r="94">
      <c r="A94" s="2" t="inlineStr">
        <is>
          <t>Action_Plan</t>
        </is>
      </c>
      <c r="B94" s="2" t="inlineStr">
        <is>
          <t>verification_status</t>
        </is>
      </c>
      <c r="C94" s="2" t="inlineStr">
        <is>
          <t>text</t>
        </is>
      </c>
      <c r="D94" s="2" t="b">
        <v>0</v>
      </c>
      <c r="E94" s="2" t="b">
        <v>0</v>
      </c>
      <c r="F94" s="2" t="inlineStr">
        <is>
          <t>NOT_EVALUATED berarti tindakan/hasil belum diverifikasi.</t>
        </is>
      </c>
      <c r="G94" s="2" t="inlineStr">
        <is>
          <t>NOT_EVALUATED</t>
        </is>
      </c>
    </row>
    <row r="95">
      <c r="A95" s="2" t="inlineStr">
        <is>
          <t>Action_Plan</t>
        </is>
      </c>
      <c r="B95" s="2" t="inlineStr">
        <is>
          <t>collected_at</t>
        </is>
      </c>
      <c r="C95" s="2" t="inlineStr">
        <is>
          <t>timestamptz</t>
        </is>
      </c>
      <c r="D95" s="2" t="b">
        <v>0</v>
      </c>
      <c r="E95" s="2" t="b">
        <v>0</v>
      </c>
      <c r="F95" s="2" t="inlineStr">
        <is>
          <t>Waktu pengambilan, bukan periode bisnis.</t>
        </is>
      </c>
      <c r="G95" s="2" t="inlineStr">
        <is>
          <t>2026-02-02T09:00:00+07:00</t>
        </is>
      </c>
    </row>
  </sheetData>
  <autoFilter ref="A1:G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Master_Unit</t>
        </is>
      </c>
      <c r="B2" s="2" t="inlineStr">
        <is>
          <t>MASTER</t>
        </is>
      </c>
      <c r="C2" s="2" t="inlineStr">
        <is>
          <t>satu baris per unit</t>
        </is>
      </c>
      <c r="D2" s="2" t="inlineStr">
        <is>
          <t>unit_code</t>
        </is>
      </c>
      <c r="E2" s="2" t="inlineStr">
        <is>
          <t>Registry master</t>
        </is>
      </c>
      <c r="F2" s="2" t="inlineStr">
        <is>
          <t>Review definisi sebelum menambahkan metrik</t>
        </is>
      </c>
      <c r="G2" s="2" t="inlineStr"/>
    </row>
    <row r="3">
      <c r="A3" s="2" t="inlineStr">
        <is>
          <t>Master_Produk</t>
        </is>
      </c>
      <c r="B3" s="2" t="inlineStr">
        <is>
          <t>MASTER</t>
        </is>
      </c>
      <c r="C3" s="2" t="inlineStr">
        <is>
          <t>satu baris per produk</t>
        </is>
      </c>
      <c r="D3" s="2" t="inlineStr">
        <is>
          <t>product_code</t>
        </is>
      </c>
      <c r="E3" s="2" t="inlineStr">
        <is>
          <t>Registry master</t>
        </is>
      </c>
      <c r="F3" s="2" t="inlineStr">
        <is>
          <t>Review definisi sebelum menambahkan metrik</t>
        </is>
      </c>
      <c r="G3" s="2" t="inlineStr"/>
    </row>
    <row r="4">
      <c r="A4" s="2" t="inlineStr">
        <is>
          <t>Master_Area</t>
        </is>
      </c>
      <c r="B4" s="2" t="inlineStr">
        <is>
          <t>MASTER</t>
        </is>
      </c>
      <c r="C4" s="2" t="inlineStr">
        <is>
          <t>satu baris per area</t>
        </is>
      </c>
      <c r="D4" s="2" t="inlineStr">
        <is>
          <t>area_code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Master_Competitor</t>
        </is>
      </c>
      <c r="B5" s="2" t="inlineStr">
        <is>
          <t>MASTER</t>
        </is>
      </c>
      <c r="C5" s="2" t="inlineStr">
        <is>
          <t>satu baris per pelaku pasar</t>
        </is>
      </c>
      <c r="D5" s="2" t="inlineStr">
        <is>
          <t>competitor_code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Master_Tim</t>
        </is>
      </c>
      <c r="B6" s="2" t="inlineStr">
        <is>
          <t>MASTER</t>
        </is>
      </c>
      <c r="C6" s="2" t="inlineStr">
        <is>
          <t>satu baris per tim penanggung jawab</t>
        </is>
      </c>
      <c r="D6" s="2" t="inlineStr">
        <is>
          <t>owner_team_code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Master_Indikator</t>
        </is>
      </c>
      <c r="B7" s="2" t="inlineStr">
        <is>
          <t>MASTER</t>
        </is>
      </c>
      <c r="C7" s="2" t="inlineStr">
        <is>
          <t>satu baris per indikator dengan definisi dan satuan</t>
        </is>
      </c>
      <c r="D7" s="2" t="inlineStr">
        <is>
          <t>indicator_code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Harga_Observasi</t>
        </is>
      </c>
      <c r="B8" s="2" t="inlineStr">
        <is>
          <t>NON_MASTER</t>
        </is>
      </c>
      <c r="C8" s="2" t="inlineStr">
        <is>
          <t>satu baris per brand produk ekuivalen outlet area waktu observasi</t>
        </is>
      </c>
      <c r="D8" s="2" t="inlineStr">
        <is>
          <t>price_observation_id</t>
        </is>
      </c>
      <c r="E8" s="2" t="inlineStr">
        <is>
          <t>UPSERT</t>
        </is>
      </c>
      <c r="F8" s="2" t="inlineStr">
        <is>
          <t>normalized_price_idr_per_l:avg [IDR_PER_L]</t>
        </is>
      </c>
      <c r="G8" s="2" t="inlineStr">
        <is>
          <t>Harga adalah titik observasi, bukan rata-rata sebulan. COMP-A 900 ml harus dinormalisasi sebelum dibandingkan dengan 1000 ml. product_code menunjukkan kelompok referensi, bukan klaim SKU pesaing identik.</t>
        </is>
      </c>
    </row>
    <row r="9">
      <c r="A9" s="2" t="inlineStr">
        <is>
          <t>Competitive_Survey</t>
        </is>
      </c>
      <c r="B9" s="2" t="inlineStr">
        <is>
          <t>NON_MASTER</t>
        </is>
      </c>
      <c r="C9" s="2" t="inlineStr">
        <is>
          <t>satu baris per respons brand produk area versi survei</t>
        </is>
      </c>
      <c r="D9" s="2" t="inlineStr">
        <is>
          <t>competitive_response_id</t>
        </is>
      </c>
      <c r="E9" s="2" t="inlineStr">
        <is>
          <t>UPSERT</t>
        </is>
      </c>
      <c r="F9" s="2" t="inlineStr">
        <is>
          <t>weighted_score:avg [SCORE_1_5]</t>
        </is>
      </c>
      <c r="G9" s="2" t="inlineStr"/>
    </row>
    <row r="10">
      <c r="A10" s="2" t="inlineStr">
        <is>
          <t>Competitive_Rekap</t>
        </is>
      </c>
      <c r="B10" s="2" t="inlineStr">
        <is>
          <t>NON_MASTER</t>
        </is>
      </c>
      <c r="C10" s="2" t="inlineStr">
        <is>
          <t>satu baris per brand produk area versi survei periode</t>
        </is>
      </c>
      <c r="D10" s="2" t="inlineStr">
        <is>
          <t>competitive_summary_id</t>
        </is>
      </c>
      <c r="E10" s="2" t="inlineStr">
        <is>
          <t>UPSERT</t>
        </is>
      </c>
      <c r="F10" s="2" t="inlineStr">
        <is>
          <t>Review definisi sebelum menambahkan metrik</t>
        </is>
      </c>
      <c r="G10" s="2" t="inlineStr">
        <is>
          <t>Baca harga titik observasi dan skor periode sebagai dua bukti berbeda. Tidak ada rank/indeks gabungan harga-layanan otomatis; bobot harus disetujui bisnis.</t>
        </is>
      </c>
    </row>
    <row r="11">
      <c r="A11" s="2" t="inlineStr">
        <is>
          <t>Action_Plan</t>
        </is>
      </c>
      <c r="B11" s="2" t="inlineStr">
        <is>
          <t>NON_MASTER</t>
        </is>
      </c>
      <c r="C11" s="2" t="inlineStr">
        <is>
          <t>satu baris per tindakan yang merujuk record temuan</t>
        </is>
      </c>
      <c r="D11" s="2" t="inlineStr">
        <is>
          <t>action_id</t>
        </is>
      </c>
      <c r="E11" s="2" t="inlineStr">
        <is>
          <t>UPSERT</t>
        </is>
      </c>
      <c r="F11" s="2" t="inlineStr">
        <is>
          <t>Review definisi sebelum menambahkan metrik</t>
        </is>
      </c>
      <c r="G11" s="2" t="inlineStr">
        <is>
          <t>Baseline dibekukan sesuai periode bukti; hipotesis belum terverifikasi. Nilai follow-up kosong berarti belum dievaluasi, bukan nol.</t>
        </is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</cols>
  <sheetData>
    <row r="1" ht="32" customHeight="1">
      <c r="A1" s="1" t="inlineStr">
        <is>
          <t>competitor_code</t>
        </is>
      </c>
      <c r="B1" s="1" t="inlineStr">
        <is>
          <t>competitor_label</t>
        </is>
      </c>
      <c r="C1" s="1" t="inlineStr">
        <is>
          <t>is_own</t>
        </is>
      </c>
    </row>
    <row r="2">
      <c r="A2" s="3" t="inlineStr">
        <is>
          <t>OWN</t>
        </is>
      </c>
      <c r="B2" s="3" t="inlineStr">
        <is>
          <t>Organisasi Kita Contoh</t>
        </is>
      </c>
      <c r="C2" s="2" t="b">
        <v>1</v>
      </c>
    </row>
    <row r="3">
      <c r="A3" s="3" t="inlineStr">
        <is>
          <t>COMP-A</t>
        </is>
      </c>
      <c r="B3" s="3" t="inlineStr">
        <is>
          <t>Pesaing Fiktif A</t>
        </is>
      </c>
      <c r="C3" s="2" t="b">
        <v>0</v>
      </c>
    </row>
    <row r="4">
      <c r="A4" s="3" t="inlineStr">
        <is>
          <t>COMP-B</t>
        </is>
      </c>
      <c r="B4" s="3" t="inlineStr">
        <is>
          <t>Pesaing Fiktif B</t>
        </is>
      </c>
      <c r="C4" s="2" t="b">
        <v>0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=REF_competitor_code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Q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3" customWidth="1" min="1" max="1"/>
    <s:col width="18" customWidth="1" min="2" max="2"/>
    <s:col width="18" customWidth="1" min="3" max="3"/>
    <s:col width="18" customWidth="1" min="4" max="4"/>
    <s:col width="19" customWidth="1" min="5" max="5"/>
    <s:col width="20" customWidth="1" min="6" max="6"/>
    <s:col width="20" customWidth="1" min="7" max="7"/>
    <s:col width="29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18" customWidth="1" min="15" max="15"/>
    <s:col width="18" customWidth="1" min="16" max="16"/>
    <s:col width="18" customWidth="1" min="17" max="17"/>
  </s:cols>
  <s:sheetData>
    <s:row r="1" ht="32" customHeight="1">
      <s:c r="A1" s="1" t="inlineStr">
        <s:is>
          <s:t>price_observation_id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comparison_group</s:t>
        </s:is>
      </s:c>
      <s:c r="F1" s="1" t="inlineStr">
        <s:is>
          <s:t>package_volume_ml</s:t>
        </s:is>
      </s:c>
      <s:c r="G1" s="1" t="inlineStr">
        <s:is>
          <s:t>package_price_idr</s:t>
        </s:is>
      </s:c>
      <s:c r="H1" s="1" t="inlineStr">
        <s:is>
          <s:t>normalized_price_idr_per_l</s:t>
        </s:is>
      </s:c>
      <s:c r="I1" s="1" t="inlineStr">
        <s:is>
          <s:t>is_promo</s:t>
        </s:is>
      </s:c>
      <s:c r="J1" s="1" t="inlineStr">
        <s:is>
          <s:t>is_in_stock</s:t>
        </s:is>
      </s:c>
      <s:c r="K1" s="1" t="inlineStr">
        <s:is>
          <s:t>outlet_type</s:t>
        </s:is>
      </s:c>
      <s:c r="L1" s="1" t="inlineStr">
        <s:is>
          <s:t>observed_at</s:t>
        </s:is>
      </s:c>
      <s:c r="M1" s="1" t="inlineStr">
        <s:is>
          <s:t>period_start</s:t>
        </s:is>
      </s:c>
      <s:c r="N1" s="1" t="inlineStr">
        <s:is>
          <s:t>period_end</s:t>
        </s:is>
      </s:c>
      <s:c r="O1" s="1" t="inlineStr">
        <s:is>
          <s:t>evidence_ref</s:t>
        </s:is>
      </s:c>
      <s:c r="P1" s="1" t="inlineStr">
        <s:is>
          <s:t>collected_at</s:t>
        </s:is>
      </s:c>
      <s:c r="Q1" s="1" t="inlineStr">
        <s:is>
          <s:t>data_as_of_at</s:t>
        </s:is>
      </s:c>
    </s:row>
    <s:row r="2">
      <s:c r="A2" s="3" t="inlineStr">
        <s:is>
          <s:t>PRICE-1-OWN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PLAIN_MILK_EQUIVALENT</s:t>
        </s:is>
      </s:c>
      <s:c r="F2" s="2" t="n">
        <s:v>1000</s:v>
      </s:c>
      <s:c r="G2" s="2" t="n">
        <s:v>26000</s:v>
      </s:c>
      <s:c r="H2" s="4">
        <s:f>IF(F2&gt;0,G2*1000/F2,"")</s:f>
        <s:v>26000.0</s:v>
      </s:c>
      <s:c r="I2" s="2" t="b">
        <s:v>0</s:v>
      </s:c>
      <s:c r="J2" s="2" t="b">
        <s:v>1</s:v>
      </s:c>
      <s:c r="K2" s="3" t="inlineStr">
        <s:is>
          <s:t>RETAIL_SIMULATED</s:t>
        </s:is>
      </s:c>
      <s:c r="L2" s="3" t="inlineStr">
        <s:is>
          <s:t>2026-01-28T09:00:00+07:00</s:t>
        </s:is>
      </s:c>
      <s:c r="M2" s="3" t="inlineStr">
        <s:is>
          <s:t>2026-01-01</s:t>
        </s:is>
      </s:c>
      <s:c r="N2" s="3" t="inlineStr">
        <s:is>
          <s:t>2026-01-31</s:t>
        </s:is>
      </s:c>
      <s:c r="O2" s="3" t="inlineStr">
        <s:is>
          <s:t>SIMULASI-PRICE-1-OWN</s:t>
        </s:is>
      </s:c>
      <s:c r="P2" s="3" t="inlineStr">
        <s:is>
          <s:t>2026-03-03T09:00:00+07:00</s:t>
        </s:is>
      </s:c>
      <s:c r="Q2" s="3" t="inlineStr">
        <s:is>
          <s:t>2026-01-28T09:00:00+07:00</s:t>
        </s:is>
      </s:c>
    </s:row>
    <s:row r="3">
      <s:c r="A3" s="3" t="inlineStr">
        <s:is>
          <s:t>PRICE-1-COMP-A</s:t>
        </s:is>
      </s:c>
      <s:c r="B3" s="3" t="inlineStr">
        <s:is>
          <s:t>COMP-A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PLAIN_MILK_EQUIVALENT</s:t>
        </s:is>
      </s:c>
      <s:c r="F3" s="2" t="n">
        <s:v>900</s:v>
      </s:c>
      <s:c r="G3" s="2" t="n">
        <s:v>24000</s:v>
      </s:c>
      <s:c r="H3" s="4">
        <s:f>IF(F3&gt;0,G3*1000/F3,"")</s:f>
        <s:v>26666.666667</s:v>
      </s:c>
      <s:c r="I3" s="2" t="b">
        <s:v>0</s:v>
      </s:c>
      <s:c r="J3" s="2" t="b">
        <s:v>1</s:v>
      </s:c>
      <s:c r="K3" s="3" t="inlineStr">
        <s:is>
          <s:t>RETAIL_SIMULATED</s:t>
        </s:is>
      </s:c>
      <s:c r="L3" s="3" t="inlineStr">
        <s:is>
          <s:t>2026-01-28T09:00:00+07:00</s:t>
        </s:is>
      </s:c>
      <s:c r="M3" s="3" t="inlineStr">
        <s:is>
          <s:t>2026-01-01</s:t>
        </s:is>
      </s:c>
      <s:c r="N3" s="3" t="inlineStr">
        <s:is>
          <s:t>2026-01-31</s:t>
        </s:is>
      </s:c>
      <s:c r="O3" s="3" t="inlineStr">
        <s:is>
          <s:t>SIMULASI-PRICE-1-COMP-A</s:t>
        </s:is>
      </s:c>
      <s:c r="P3" s="3" t="inlineStr">
        <s:is>
          <s:t>2026-03-03T09:00:00+07:00</s:t>
        </s:is>
      </s:c>
      <s:c r="Q3" s="3" t="inlineStr">
        <s:is>
          <s:t>2026-01-28T09:00:00+07:00</s:t>
        </s:is>
      </s:c>
    </s:row>
    <s:row r="4">
      <s:c r="A4" s="3" t="inlineStr">
        <s:is>
          <s:t>PRICE-1-COMP-B</s:t>
        </s:is>
      </s:c>
      <s:c r="B4" s="3" t="inlineStr">
        <s:is>
          <s:t>COMP-B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PLAIN_MILK_EQUIVALENT</s:t>
        </s:is>
      </s:c>
      <s:c r="F4" s="2" t="n">
        <s:v>1000</s:v>
      </s:c>
      <s:c r="G4" s="2" t="n">
        <s:v>28000</s:v>
      </s:c>
      <s:c r="H4" s="4">
        <s:f>IF(F4&gt;0,G4*1000/F4,"")</s:f>
        <s:v>28000.0</s:v>
      </s:c>
      <s:c r="I4" s="2" t="b">
        <s:v>0</s:v>
      </s:c>
      <s:c r="J4" s="2" t="b">
        <s:v>1</s:v>
      </s:c>
      <s:c r="K4" s="3" t="inlineStr">
        <s:is>
          <s:t>RETAIL_SIMULATED</s:t>
        </s:is>
      </s:c>
      <s:c r="L4" s="3" t="inlineStr">
        <s:is>
          <s:t>2026-01-28T09:00:00+07:00</s:t>
        </s:is>
      </s:c>
      <s:c r="M4" s="3" t="inlineStr">
        <s:is>
          <s:t>2026-01-01</s:t>
        </s:is>
      </s:c>
      <s:c r="N4" s="3" t="inlineStr">
        <s:is>
          <s:t>2026-01-31</s:t>
        </s:is>
      </s:c>
      <s:c r="O4" s="3" t="inlineStr">
        <s:is>
          <s:t>SIMULASI-PRICE-1-COMP-B</s:t>
        </s:is>
      </s:c>
      <s:c r="P4" s="3" t="inlineStr">
        <s:is>
          <s:t>2026-03-03T09:00:00+07:00</s:t>
        </s:is>
      </s:c>
      <s:c r="Q4" s="3" t="inlineStr">
        <s:is>
          <s:t>2026-01-28T09:00:00+07:00</s:t>
        </s:is>
      </s:c>
    </s:row>
    <s:row r="5">
      <s:c r="A5" s="3" t="inlineStr">
        <s:is>
          <s:t>PRICE-2-OWN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PLAIN_MILK_EQUIVALENT</s:t>
        </s:is>
      </s:c>
      <s:c r="F5" s="2" t="n">
        <s:v>1000</s:v>
      </s:c>
      <s:c r="G5" s="2" t="n">
        <s:v>26500</s:v>
      </s:c>
      <s:c r="H5" s="4">
        <s:f>IF(F5&gt;0,G5*1000/F5,"")</s:f>
        <s:v>26500.0</s:v>
      </s:c>
      <s:c r="I5" s="2" t="b">
        <s:v>0</s:v>
      </s:c>
      <s:c r="J5" s="2" t="b">
        <s:v>1</s:v>
      </s:c>
      <s:c r="K5" s="3" t="inlineStr">
        <s:is>
          <s:t>RETAIL_SIMULATED</s:t>
        </s:is>
      </s:c>
      <s:c r="L5" s="3" t="inlineStr">
        <s:is>
          <s:t>2026-02-28T09:00:00+07:00</s:t>
        </s:is>
      </s:c>
      <s:c r="M5" s="3" t="inlineStr">
        <s:is>
          <s:t>2026-02-01</s:t>
        </s:is>
      </s:c>
      <s:c r="N5" s="3" t="inlineStr">
        <s:is>
          <s:t>2026-02-28</s:t>
        </s:is>
      </s:c>
      <s:c r="O5" s="3" t="inlineStr">
        <s:is>
          <s:t>SIMULASI-PRICE-2-OWN</s:t>
        </s:is>
      </s:c>
      <s:c r="P5" s="3" t="inlineStr">
        <s:is>
          <s:t>2026-03-03T09:00:00+07:00</s:t>
        </s:is>
      </s:c>
      <s:c r="Q5" s="3" t="inlineStr">
        <s:is>
          <s:t>2026-02-28T09:00:00+07:00</s:t>
        </s:is>
      </s:c>
    </s:row>
    <s:row r="6">
      <s:c r="A6" s="3" t="inlineStr">
        <s:is>
          <s:t>PRICE-2-COMP-A</s:t>
        </s:is>
      </s:c>
      <s:c r="B6" s="3" t="inlineStr">
        <s:is>
          <s:t>COMP-A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PLAIN_MILK_EQUIVALENT</s:t>
        </s:is>
      </s:c>
      <s:c r="F6" s="2" t="n">
        <s:v>900</s:v>
      </s:c>
      <s:c r="G6" s="2" t="n">
        <s:v>24500</s:v>
      </s:c>
      <s:c r="H6" s="4">
        <s:f>IF(F6&gt;0,G6*1000/F6,"")</s:f>
        <s:v>27222.222222</s:v>
      </s:c>
      <s:c r="I6" s="2" t="b">
        <s:v>0</s:v>
      </s:c>
      <s:c r="J6" s="2" t="b">
        <s:v>1</s:v>
      </s:c>
      <s:c r="K6" s="3" t="inlineStr">
        <s:is>
          <s:t>RETAIL_SIMULATED</s:t>
        </s:is>
      </s:c>
      <s:c r="L6" s="3" t="inlineStr">
        <s:is>
          <s:t>2026-02-28T09:00:00+07:00</s:t>
        </s:is>
      </s:c>
      <s:c r="M6" s="3" t="inlineStr">
        <s:is>
          <s:t>2026-02-01</s:t>
        </s:is>
      </s:c>
      <s:c r="N6" s="3" t="inlineStr">
        <s:is>
          <s:t>2026-02-28</s:t>
        </s:is>
      </s:c>
      <s:c r="O6" s="3" t="inlineStr">
        <s:is>
          <s:t>SIMULASI-PRICE-2-COMP-A</s:t>
        </s:is>
      </s:c>
      <s:c r="P6" s="3" t="inlineStr">
        <s:is>
          <s:t>2026-03-03T09:00:00+07:00</s:t>
        </s:is>
      </s:c>
      <s:c r="Q6" s="3" t="inlineStr">
        <s:is>
          <s:t>2026-02-28T09:00:00+07:00</s:t>
        </s:is>
      </s:c>
    </s:row>
    <s:row r="7">
      <s:c r="A7" s="3" t="inlineStr">
        <s:is>
          <s:t>PRICE-2-COMP-B</s:t>
        </s:is>
      </s:c>
      <s:c r="B7" s="3" t="inlineStr">
        <s:is>
          <s:t>COMP-B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PLAIN_MILK_EQUIVALENT</s:t>
        </s:is>
      </s:c>
      <s:c r="F7" s="2" t="n">
        <s:v>1000</s:v>
      </s:c>
      <s:c r="G7" s="2" t="n">
        <s:v>28500</s:v>
      </s:c>
      <s:c r="H7" s="4">
        <s:f>IF(F7&gt;0,G7*1000/F7,"")</s:f>
        <s:v>28500.0</s:v>
      </s:c>
      <s:c r="I7" s="2" t="b">
        <s:v>0</s:v>
      </s:c>
      <s:c r="J7" s="2" t="b">
        <s:v>1</s:v>
      </s:c>
      <s:c r="K7" s="3" t="inlineStr">
        <s:is>
          <s:t>RETAIL_SIMULATED</s:t>
        </s:is>
      </s:c>
      <s:c r="L7" s="3" t="inlineStr">
        <s:is>
          <s:t>2026-02-28T09:00:00+07:00</s:t>
        </s:is>
      </s:c>
      <s:c r="M7" s="3" t="inlineStr">
        <s:is>
          <s:t>2026-02-01</s:t>
        </s:is>
      </s:c>
      <s:c r="N7" s="3" t="inlineStr">
        <s:is>
          <s:t>2026-02-28</s:t>
        </s:is>
      </s:c>
      <s:c r="O7" s="3" t="inlineStr">
        <s:is>
          <s:t>SIMULASI-PRICE-2-COMP-B</s:t>
        </s:is>
      </s:c>
      <s:c r="P7" s="3" t="inlineStr">
        <s:is>
          <s:t>2026-03-03T09:00:00+07:00</s:t>
        </s:is>
      </s:c>
      <s:c r="Q7" s="3" t="inlineStr">
        <s:is>
          <s:t>2026-02-28T09:00:00+07:00</s:t>
        </s:is>
      </s:c>
    </s:row>
  </s:sheetData>
  <s:autoFilter ref="A1:Q7"/>
  <s:dataValidations count="3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1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Q73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6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18" customWidth="1" min="15" max="15"/>
    <s:col width="18" customWidth="1" min="16" max="16"/>
    <s:col width="18" customWidth="1" min="17" max="17"/>
  </s:cols>
  <s:sheetData>
    <s:row r="1" ht="32" customHeight="1">
      <s:c r="A1" s="1" t="inlineStr">
        <s:is>
          <s:t>competitive_response_id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survey_version</s:t>
        </s:is>
      </s:c>
      <s:c r="F1" s="1" t="inlineStr">
        <s:is>
          <s:t>surveyed_at</s:t>
        </s:is>
      </s:c>
      <s:c r="G1" s="1" t="inlineStr">
        <s:is>
          <s:t>product_score</s:t>
        </s:is>
      </s:c>
      <s:c r="H1" s="1" t="inlineStr">
        <s:is>
          <s:t>service_score</s:t>
        </s:is>
      </s:c>
      <s:c r="I1" s="1" t="inlineStr">
        <s:is>
          <s:t>value_score</s:t>
        </s:is>
      </s:c>
      <s:c r="J1" s="1" t="inlineStr">
        <s:is>
          <s:t>weight_product</s:t>
        </s:is>
      </s:c>
      <s:c r="K1" s="1" t="inlineStr">
        <s:is>
          <s:t>weight_service</s:t>
        </s:is>
      </s:c>
      <s:c r="L1" s="1" t="inlineStr">
        <s:is>
          <s:t>weight_value</s:t>
        </s:is>
      </s:c>
      <s:c r="M1" s="1" t="inlineStr">
        <s:is>
          <s:t>weighted_score</s:t>
        </s:is>
      </s:c>
      <s:c r="N1" s="1" t="inlineStr">
        <s:is>
          <s:t>sampling_method</s:t>
        </s:is>
      </s:c>
      <s:c r="O1" s="1" t="inlineStr">
        <s:is>
          <s:t>period_start</s:t>
        </s:is>
      </s:c>
      <s:c r="P1" s="1" t="inlineStr">
        <s:is>
          <s:t>period_end</s:t>
        </s:is>
      </s:c>
      <s:c r="Q1" s="1" t="inlineStr">
        <s:is>
          <s:t>collected_at</s:t>
        </s:is>
      </s:c>
    </s:row>
    <s:row r="2">
      <s:c r="A2" s="3" t="inlineStr">
        <s:is>
          <s:t>CMP-SUR-1-OWN-00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COMPARE-5-V1</s:t>
        </s:is>
      </s:c>
      <s:c r="F2" s="3" t="inlineStr">
        <s:is>
          <s:t>2026-01-15T09:00:00+07:00</s:t>
        </s:is>
      </s:c>
      <s:c r="G2" s="2" t="n">
        <s:v>3</s:v>
      </s:c>
      <s:c r="H2" s="2" t="n">
        <s:v>2</s:v>
      </s:c>
      <s:c r="I2" s="2" t="n">
        <s:v>3</s:v>
      </s:c>
      <s:c r="J2" s="4" t="n">
        <s:v>0.5</s:v>
      </s:c>
      <s:c r="K2" s="4" t="n">
        <s:v>0.3</s:v>
      </s:c>
      <s:c r="L2" s="4" t="n">
        <s:v>0.2</s:v>
      </s:c>
      <s:c r="M2" s="4">
        <s:f>G2*J2+H2*K2+I2*L2</s:f>
        <s:v>2.7</s:v>
      </s:c>
      <s:c r="N2" s="3" t="inlineStr">
        <s:is>
          <s:t>MATCHED_SCRIPT_SIMULATED</s:t>
        </s:is>
      </s:c>
      <s:c r="O2" s="3" t="inlineStr">
        <s:is>
          <s:t>2026-01-01</s:t>
        </s:is>
      </s:c>
      <s:c r="P2" s="3" t="inlineStr">
        <s:is>
          <s:t>2026-01-31</s:t>
        </s:is>
      </s:c>
      <s:c r="Q2" s="3" t="inlineStr">
        <s:is>
          <s:t>2026-03-03T09:00:00+07:00</s:t>
        </s:is>
      </s:c>
    </s:row>
    <s:row r="3">
      <s:c r="A3" s="3" t="inlineStr">
        <s:is>
          <s:t>CMP-SUR-1-OWN-01</s:t>
        </s:is>
      </s:c>
      <s:c r="B3" s="3" t="inlineStr">
        <s:is>
          <s:t>OWN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COMPARE-5-V1</s:t>
        </s:is>
      </s:c>
      <s:c r="F3" s="3" t="inlineStr">
        <s:is>
          <s:t>2026-01-16T09:00:00+07:00</s:t>
        </s:is>
      </s:c>
      <s:c r="G3" s="2" t="n">
        <s:v>4</s:v>
      </s:c>
      <s:c r="H3" s="2" t="n">
        <s:v>3</s:v>
      </s:c>
      <s:c r="I3" s="2" t="n">
        <s:v>3</s:v>
      </s:c>
      <s:c r="J3" s="4" t="n">
        <s:v>0.5</s:v>
      </s:c>
      <s:c r="K3" s="4" t="n">
        <s:v>0.3</s:v>
      </s:c>
      <s:c r="L3" s="4" t="n">
        <s:v>0.2</s:v>
      </s:c>
      <s:c r="M3" s="4">
        <s:f>G3*J3+H3*K3+I3*L3</s:f>
        <s:v>3.5</s:v>
      </s:c>
      <s:c r="N3" s="3" t="inlineStr">
        <s:is>
          <s:t>MATCHED_SCRIPT_SIMULATED</s:t>
        </s:is>
      </s:c>
      <s:c r="O3" s="3" t="inlineStr">
        <s:is>
          <s:t>2026-01-01</s:t>
        </s:is>
      </s:c>
      <s:c r="P3" s="3" t="inlineStr">
        <s:is>
          <s:t>2026-01-31</s:t>
        </s:is>
      </s:c>
      <s:c r="Q3" s="3" t="inlineStr">
        <s:is>
          <s:t>2026-03-03T09:00:00+07:00</s:t>
        </s:is>
      </s:c>
    </s:row>
    <s:row r="4">
      <s:c r="A4" s="3" t="inlineStr">
        <s:is>
          <s:t>CMP-SUR-1-OWN-02</s:t>
        </s:is>
      </s:c>
      <s:c r="B4" s="3" t="inlineStr">
        <s:is>
          <s:t>OWN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COMPARE-5-V1</s:t>
        </s:is>
      </s:c>
      <s:c r="F4" s="3" t="inlineStr">
        <s:is>
          <s:t>2026-01-17T09:00:00+07:00</s:t>
        </s:is>
      </s:c>
      <s:c r="G4" s="2" t="n">
        <s:v>4</s:v>
      </s:c>
      <s:c r="H4" s="2" t="n">
        <s:v>4</s:v>
      </s:c>
      <s:c r="I4" s="2" t="n">
        <s:v>4</s:v>
      </s:c>
      <s:c r="J4" s="4" t="n">
        <s:v>0.5</s:v>
      </s:c>
      <s:c r="K4" s="4" t="n">
        <s:v>0.3</s:v>
      </s:c>
      <s:c r="L4" s="4" t="n">
        <s:v>0.2</s:v>
      </s:c>
      <s:c r="M4" s="4">
        <s:f>G4*J4+H4*K4+I4*L4</s:f>
        <s:v>4.0</s:v>
      </s:c>
      <s:c r="N4" s="3" t="inlineStr">
        <s:is>
          <s:t>MATCHED_SCRIPT_SIMULATED</s:t>
        </s:is>
      </s:c>
      <s:c r="O4" s="3" t="inlineStr">
        <s:is>
          <s:t>2026-01-01</s:t>
        </s:is>
      </s:c>
      <s:c r="P4" s="3" t="inlineStr">
        <s:is>
          <s:t>2026-01-31</s:t>
        </s:is>
      </s:c>
      <s:c r="Q4" s="3" t="inlineStr">
        <s:is>
          <s:t>2026-03-03T09:00:00+07:00</s:t>
        </s:is>
      </s:c>
    </s:row>
    <s:row r="5">
      <s:c r="A5" s="3" t="inlineStr">
        <s:is>
          <s:t>CMP-SUR-1-OWN-03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COMPARE-5-V1</s:t>
        </s:is>
      </s:c>
      <s:c r="F5" s="3" t="inlineStr">
        <s:is>
          <s:t>2026-01-18T09:00:00+07:00</s:t>
        </s:is>
      </s:c>
      <s:c r="G5" s="2" t="n">
        <s:v>5</s:v>
      </s:c>
      <s:c r="H5" s="2" t="n">
        <s:v>4</s:v>
      </s:c>
      <s:c r="I5" s="2" t="n">
        <s:v>4</s:v>
      </s:c>
      <s:c r="J5" s="4" t="n">
        <s:v>0.5</s:v>
      </s:c>
      <s:c r="K5" s="4" t="n">
        <s:v>0.3</s:v>
      </s:c>
      <s:c r="L5" s="4" t="n">
        <s:v>0.2</s:v>
      </s:c>
      <s:c r="M5" s="4">
        <s:f>G5*J5+H5*K5+I5*L5</s:f>
        <s:v>4.5</s:v>
      </s:c>
      <s:c r="N5" s="3" t="inlineStr">
        <s:is>
          <s:t>MATCHED_SCRIPT_SIMULATED</s:t>
        </s:is>
      </s:c>
      <s:c r="O5" s="3" t="inlineStr">
        <s:is>
          <s:t>2026-01-01</s:t>
        </s:is>
      </s:c>
      <s:c r="P5" s="3" t="inlineStr">
        <s:is>
          <s:t>2026-01-31</s:t>
        </s:is>
      </s:c>
      <s:c r="Q5" s="3" t="inlineStr">
        <s:is>
          <s:t>2026-03-03T09:00:00+07:00</s:t>
        </s:is>
      </s:c>
    </s:row>
    <s:row r="6">
      <s:c r="A6" s="3" t="inlineStr">
        <s:is>
          <s:t>CMP-SUR-1-OWN-04</s:t>
        </s:is>
      </s:c>
      <s:c r="B6" s="3" t="inlineStr">
        <s:is>
          <s:t>OWN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COMPARE-5-V1</s:t>
        </s:is>
      </s:c>
      <s:c r="F6" s="3" t="inlineStr">
        <s:is>
          <s:t>2026-01-19T09:00:00+07:00</s:t>
        </s:is>
      </s:c>
      <s:c r="G6" s="2" t="n">
        <s:v>3</s:v>
      </s:c>
      <s:c r="H6" s="2" t="n">
        <s:v>2</s:v>
      </s:c>
      <s:c r="I6" s="2" t="n">
        <s:v>3</s:v>
      </s:c>
      <s:c r="J6" s="4" t="n">
        <s:v>0.5</s:v>
      </s:c>
      <s:c r="K6" s="4" t="n">
        <s:v>0.3</s:v>
      </s:c>
      <s:c r="L6" s="4" t="n">
        <s:v>0.2</s:v>
      </s:c>
      <s:c r="M6" s="4">
        <s:f>G6*J6+H6*K6+I6*L6</s:f>
        <s:v>2.7</s:v>
      </s:c>
      <s:c r="N6" s="3" t="inlineStr">
        <s:is>
          <s:t>MATCHED_SCRIPT_SIMULATED</s:t>
        </s:is>
      </s:c>
      <s:c r="O6" s="3" t="inlineStr">
        <s:is>
          <s:t>2026-01-01</s:t>
        </s:is>
      </s:c>
      <s:c r="P6" s="3" t="inlineStr">
        <s:is>
          <s:t>2026-01-31</s:t>
        </s:is>
      </s:c>
      <s:c r="Q6" s="3" t="inlineStr">
        <s:is>
          <s:t>2026-03-03T09:00:00+07:00</s:t>
        </s:is>
      </s:c>
    </s:row>
    <s:row r="7">
      <s:c r="A7" s="3" t="inlineStr">
        <s:is>
          <s:t>CMP-SUR-1-OWN-05</s:t>
        </s:is>
      </s:c>
      <s:c r="B7" s="3" t="inlineStr">
        <s:is>
          <s:t>OWN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COMPARE-5-V1</s:t>
        </s:is>
      </s:c>
      <s:c r="F7" s="3" t="inlineStr">
        <s:is>
          <s:t>2026-01-20T09:00:00+07:00</s:t>
        </s:is>
      </s:c>
      <s:c r="G7" s="2" t="n">
        <s:v>4</s:v>
      </s:c>
      <s:c r="H7" s="2" t="n">
        <s:v>3</s:v>
      </s:c>
      <s:c r="I7" s="2" t="n">
        <s:v>3</s:v>
      </s:c>
      <s:c r="J7" s="4" t="n">
        <s:v>0.5</s:v>
      </s:c>
      <s:c r="K7" s="4" t="n">
        <s:v>0.3</s:v>
      </s:c>
      <s:c r="L7" s="4" t="n">
        <s:v>0.2</s:v>
      </s:c>
      <s:c r="M7" s="4">
        <s:f>G7*J7+H7*K7+I7*L7</s:f>
        <s:v>3.5</s:v>
      </s:c>
      <s:c r="N7" s="3" t="inlineStr">
        <s:is>
          <s:t>MATCHED_SCRIPT_SIMULATED</s:t>
        </s:is>
      </s:c>
      <s:c r="O7" s="3" t="inlineStr">
        <s:is>
          <s:t>2026-01-01</s:t>
        </s:is>
      </s:c>
      <s:c r="P7" s="3" t="inlineStr">
        <s:is>
          <s:t>2026-01-31</s:t>
        </s:is>
      </s:c>
      <s:c r="Q7" s="3" t="inlineStr">
        <s:is>
          <s:t>2026-03-03T09:00:00+07:00</s:t>
        </s:is>
      </s:c>
    </s:row>
    <s:row r="8">
      <s:c r="A8" s="3" t="inlineStr">
        <s:is>
          <s:t>CMP-SUR-1-OWN-06</s:t>
        </s:is>
      </s:c>
      <s:c r="B8" s="3" t="inlineStr">
        <s:is>
          <s:t>OWN</s:t>
        </s:is>
      </s:c>
      <s:c r="C8" s="3" t="inlineStr">
        <s:is>
          <s:t>PROD-MILK</s:t>
        </s:is>
      </s:c>
      <s:c r="D8" s="3" t="inlineStr">
        <s:is>
          <s:t>AREA-A</s:t>
        </s:is>
      </s:c>
      <s:c r="E8" s="3" t="inlineStr">
        <s:is>
          <s:t>COMPARE-5-V1</s:t>
        </s:is>
      </s:c>
      <s:c r="F8" s="3" t="inlineStr">
        <s:is>
          <s:t>2026-01-21T09:00:00+07:00</s:t>
        </s:is>
      </s:c>
      <s:c r="G8" s="2" t="n">
        <s:v>4</s:v>
      </s:c>
      <s:c r="H8" s="2" t="n">
        <s:v>4</s:v>
      </s:c>
      <s:c r="I8" s="2" t="n">
        <s:v>4</s:v>
      </s:c>
      <s:c r="J8" s="4" t="n">
        <s:v>0.5</s:v>
      </s:c>
      <s:c r="K8" s="4" t="n">
        <s:v>0.3</s:v>
      </s:c>
      <s:c r="L8" s="4" t="n">
        <s:v>0.2</s:v>
      </s:c>
      <s:c r="M8" s="4">
        <s:f>G8*J8+H8*K8+I8*L8</s:f>
        <s:v>4.0</s:v>
      </s:c>
      <s:c r="N8" s="3" t="inlineStr">
        <s:is>
          <s:t>MATCHED_SCRIPT_SIMULATED</s:t>
        </s:is>
      </s:c>
      <s:c r="O8" s="3" t="inlineStr">
        <s:is>
          <s:t>2026-01-01</s:t>
        </s:is>
      </s:c>
      <s:c r="P8" s="3" t="inlineStr">
        <s:is>
          <s:t>2026-01-31</s:t>
        </s:is>
      </s:c>
      <s:c r="Q8" s="3" t="inlineStr">
        <s:is>
          <s:t>2026-03-03T09:00:00+07:00</s:t>
        </s:is>
      </s:c>
    </s:row>
    <s:row r="9">
      <s:c r="A9" s="3" t="inlineStr">
        <s:is>
          <s:t>CMP-SUR-1-OWN-07</s:t>
        </s:is>
      </s:c>
      <s:c r="B9" s="3" t="inlineStr">
        <s:is>
          <s:t>OWN</s:t>
        </s:is>
      </s:c>
      <s:c r="C9" s="3" t="inlineStr">
        <s:is>
          <s:t>PROD-MILK</s:t>
        </s:is>
      </s:c>
      <s:c r="D9" s="3" t="inlineStr">
        <s:is>
          <s:t>AREA-A</s:t>
        </s:is>
      </s:c>
      <s:c r="E9" s="3" t="inlineStr">
        <s:is>
          <s:t>COMPARE-5-V1</s:t>
        </s:is>
      </s:c>
      <s:c r="F9" s="3" t="inlineStr">
        <s:is>
          <s:t>2026-01-22T09:00:00+07:00</s:t>
        </s:is>
      </s:c>
      <s:c r="G9" s="2" t="n">
        <s:v>5</s:v>
      </s:c>
      <s:c r="H9" s="2" t="n">
        <s:v>4</s:v>
      </s:c>
      <s:c r="I9" s="2" t="n">
        <s:v>4</s:v>
      </s:c>
      <s:c r="J9" s="4" t="n">
        <s:v>0.5</s:v>
      </s:c>
      <s:c r="K9" s="4" t="n">
        <s:v>0.3</s:v>
      </s:c>
      <s:c r="L9" s="4" t="n">
        <s:v>0.2</s:v>
      </s:c>
      <s:c r="M9" s="4">
        <s:f>G9*J9+H9*K9+I9*L9</s:f>
        <s:v>4.5</s:v>
      </s:c>
      <s:c r="N9" s="3" t="inlineStr">
        <s:is>
          <s:t>MATCHED_SCRIPT_SIMULATED</s:t>
        </s:is>
      </s:c>
      <s:c r="O9" s="3" t="inlineStr">
        <s:is>
          <s:t>2026-01-01</s:t>
        </s:is>
      </s:c>
      <s:c r="P9" s="3" t="inlineStr">
        <s:is>
          <s:t>2026-01-31</s:t>
        </s:is>
      </s:c>
      <s:c r="Q9" s="3" t="inlineStr">
        <s:is>
          <s:t>2026-03-03T09:00:00+07:00</s:t>
        </s:is>
      </s:c>
    </s:row>
    <s:row r="10">
      <s:c r="A10" s="3" t="inlineStr">
        <s:is>
          <s:t>CMP-SUR-1-OWN-08</s:t>
        </s:is>
      </s:c>
      <s:c r="B10" s="3" t="inlineStr">
        <s:is>
          <s:t>OWN</s:t>
        </s:is>
      </s:c>
      <s:c r="C10" s="3" t="inlineStr">
        <s:is>
          <s:t>PROD-MILK</s:t>
        </s:is>
      </s:c>
      <s:c r="D10" s="3" t="inlineStr">
        <s:is>
          <s:t>AREA-A</s:t>
        </s:is>
      </s:c>
      <s:c r="E10" s="3" t="inlineStr">
        <s:is>
          <s:t>COMPARE-5-V1</s:t>
        </s:is>
      </s:c>
      <s:c r="F10" s="3" t="inlineStr">
        <s:is>
          <s:t>2026-01-23T09:00:00+07:00</s:t>
        </s:is>
      </s:c>
      <s:c r="G10" s="2" t="n">
        <s:v>3</s:v>
      </s:c>
      <s:c r="H10" s="2" t="n">
        <s:v>2</s:v>
      </s:c>
      <s:c r="I10" s="2" t="n">
        <s:v>3</s:v>
      </s:c>
      <s:c r="J10" s="4" t="n">
        <s:v>0.5</s:v>
      </s:c>
      <s:c r="K10" s="4" t="n">
        <s:v>0.3</s:v>
      </s:c>
      <s:c r="L10" s="4" t="n">
        <s:v>0.2</s:v>
      </s:c>
      <s:c r="M10" s="4">
        <s:f>G10*J10+H10*K10+I10*L10</s:f>
        <s:v>2.7</s:v>
      </s:c>
      <s:c r="N10" s="3" t="inlineStr">
        <s:is>
          <s:t>MATCHED_SCRIPT_SIMULATED</s:t>
        </s:is>
      </s:c>
      <s:c r="O10" s="3" t="inlineStr">
        <s:is>
          <s:t>2026-01-01</s:t>
        </s:is>
      </s:c>
      <s:c r="P10" s="3" t="inlineStr">
        <s:is>
          <s:t>2026-01-31</s:t>
        </s:is>
      </s:c>
      <s:c r="Q10" s="3" t="inlineStr">
        <s:is>
          <s:t>2026-03-03T09:00:00+07:00</s:t>
        </s:is>
      </s:c>
    </s:row>
    <s:row r="11">
      <s:c r="A11" s="3" t="inlineStr">
        <s:is>
          <s:t>CMP-SUR-1-OWN-09</s:t>
        </s:is>
      </s:c>
      <s:c r="B11" s="3" t="inlineStr">
        <s:is>
          <s:t>OWN</s:t>
        </s:is>
      </s:c>
      <s:c r="C11" s="3" t="inlineStr">
        <s:is>
          <s:t>PROD-MILK</s:t>
        </s:is>
      </s:c>
      <s:c r="D11" s="3" t="inlineStr">
        <s:is>
          <s:t>AREA-A</s:t>
        </s:is>
      </s:c>
      <s:c r="E11" s="3" t="inlineStr">
        <s:is>
          <s:t>COMPARE-5-V1</s:t>
        </s:is>
      </s:c>
      <s:c r="F11" s="3" t="inlineStr">
        <s:is>
          <s:t>2026-01-24T09:00:00+07:00</s:t>
        </s:is>
      </s:c>
      <s:c r="G11" s="2" t="n">
        <s:v>4</s:v>
      </s:c>
      <s:c r="H11" s="2" t="n">
        <s:v>3</s:v>
      </s:c>
      <s:c r="I11" s="2" t="n">
        <s:v>3</s:v>
      </s:c>
      <s:c r="J11" s="4" t="n">
        <s:v>0.5</s:v>
      </s:c>
      <s:c r="K11" s="4" t="n">
        <s:v>0.3</s:v>
      </s:c>
      <s:c r="L11" s="4" t="n">
        <s:v>0.2</s:v>
      </s:c>
      <s:c r="M11" s="4">
        <s:f>G11*J11+H11*K11+I11*L11</s:f>
        <s:v>3.5</s:v>
      </s:c>
      <s:c r="N11" s="3" t="inlineStr">
        <s:is>
          <s:t>MATCHED_SCRIPT_SIMULATED</s:t>
        </s:is>
      </s:c>
      <s:c r="O11" s="3" t="inlineStr">
        <s:is>
          <s:t>2026-01-01</s:t>
        </s:is>
      </s:c>
      <s:c r="P11" s="3" t="inlineStr">
        <s:is>
          <s:t>2026-01-31</s:t>
        </s:is>
      </s:c>
      <s:c r="Q11" s="3" t="inlineStr">
        <s:is>
          <s:t>2026-03-03T09:00:00+07:00</s:t>
        </s:is>
      </s:c>
    </s:row>
    <s:row r="12">
      <s:c r="A12" s="3" t="inlineStr">
        <s:is>
          <s:t>CMP-SUR-1-OWN-10</s:t>
        </s:is>
      </s:c>
      <s:c r="B12" s="3" t="inlineStr">
        <s:is>
          <s:t>OWN</s:t>
        </s:is>
      </s:c>
      <s:c r="C12" s="3" t="inlineStr">
        <s:is>
          <s:t>PROD-MILK</s:t>
        </s:is>
      </s:c>
      <s:c r="D12" s="3" t="inlineStr">
        <s:is>
          <s:t>AREA-A</s:t>
        </s:is>
      </s:c>
      <s:c r="E12" s="3" t="inlineStr">
        <s:is>
          <s:t>COMPARE-5-V1</s:t>
        </s:is>
      </s:c>
      <s:c r="F12" s="3" t="inlineStr">
        <s:is>
          <s:t>2026-01-25T09:00:00+07:00</s:t>
        </s:is>
      </s:c>
      <s:c r="G12" s="2" t="n">
        <s:v>4</s:v>
      </s:c>
      <s:c r="H12" s="2" t="n">
        <s:v>4</s:v>
      </s:c>
      <s:c r="I12" s="2" t="n">
        <s:v>4</s:v>
      </s:c>
      <s:c r="J12" s="4" t="n">
        <s:v>0.5</s:v>
      </s:c>
      <s:c r="K12" s="4" t="n">
        <s:v>0.3</s:v>
      </s:c>
      <s:c r="L12" s="4" t="n">
        <s:v>0.2</s:v>
      </s:c>
      <s:c r="M12" s="4">
        <s:f>G12*J12+H12*K12+I12*L12</s:f>
        <s:v>4.0</s:v>
      </s:c>
      <s:c r="N12" s="3" t="inlineStr">
        <s:is>
          <s:t>MATCHED_SCRIPT_SIMULATED</s:t>
        </s:is>
      </s:c>
      <s:c r="O12" s="3" t="inlineStr">
        <s:is>
          <s:t>2026-01-01</s:t>
        </s:is>
      </s:c>
      <s:c r="P12" s="3" t="inlineStr">
        <s:is>
          <s:t>2026-01-31</s:t>
        </s:is>
      </s:c>
      <s:c r="Q12" s="3" t="inlineStr">
        <s:is>
          <s:t>2026-03-03T09:00:00+07:00</s:t>
        </s:is>
      </s:c>
    </s:row>
    <s:row r="13">
      <s:c r="A13" s="3" t="inlineStr">
        <s:is>
          <s:t>CMP-SUR-1-OWN-11</s:t>
        </s:is>
      </s:c>
      <s:c r="B13" s="3" t="inlineStr">
        <s:is>
          <s:t>OWN</s:t>
        </s:is>
      </s:c>
      <s:c r="C13" s="3" t="inlineStr">
        <s:is>
          <s:t>PROD-MILK</s:t>
        </s:is>
      </s:c>
      <s:c r="D13" s="3" t="inlineStr">
        <s:is>
          <s:t>AREA-A</s:t>
        </s:is>
      </s:c>
      <s:c r="E13" s="3" t="inlineStr">
        <s:is>
          <s:t>COMPARE-5-V1</s:t>
        </s:is>
      </s:c>
      <s:c r="F13" s="3" t="inlineStr">
        <s:is>
          <s:t>2026-01-26T09:00:00+07:00</s:t>
        </s:is>
      </s:c>
      <s:c r="G13" s="2" t="n">
        <s:v>5</s:v>
      </s:c>
      <s:c r="H13" s="2" t="n">
        <s:v>4</s:v>
      </s:c>
      <s:c r="I13" s="2" t="n">
        <s:v>4</s:v>
      </s:c>
      <s:c r="J13" s="4" t="n">
        <s:v>0.5</s:v>
      </s:c>
      <s:c r="K13" s="4" t="n">
        <s:v>0.3</s:v>
      </s:c>
      <s:c r="L13" s="4" t="n">
        <s:v>0.2</s:v>
      </s:c>
      <s:c r="M13" s="4">
        <s:f>G13*J13+H13*K13+I13*L13</s:f>
        <s:v>4.5</s:v>
      </s:c>
      <s:c r="N13" s="3" t="inlineStr">
        <s:is>
          <s:t>MATCHED_SCRIPT_SIMULATED</s:t>
        </s:is>
      </s:c>
      <s:c r="O13" s="3" t="inlineStr">
        <s:is>
          <s:t>2026-01-01</s:t>
        </s:is>
      </s:c>
      <s:c r="P13" s="3" t="inlineStr">
        <s:is>
          <s:t>2026-01-31</s:t>
        </s:is>
      </s:c>
      <s:c r="Q13" s="3" t="inlineStr">
        <s:is>
          <s:t>2026-03-03T09:00:00+07:00</s:t>
        </s:is>
      </s:c>
    </s:row>
    <s:row r="14">
      <s:c r="A14" s="3" t="inlineStr">
        <s:is>
          <s:t>CMP-SUR-1-COMP-A-00</s:t>
        </s:is>
      </s:c>
      <s:c r="B14" s="3" t="inlineStr">
        <s:is>
          <s:t>COMP-A</s:t>
        </s:is>
      </s:c>
      <s:c r="C14" s="3" t="inlineStr">
        <s:is>
          <s:t>PROD-MILK</s:t>
        </s:is>
      </s:c>
      <s:c r="D14" s="3" t="inlineStr">
        <s:is>
          <s:t>AREA-A</s:t>
        </s:is>
      </s:c>
      <s:c r="E14" s="3" t="inlineStr">
        <s:is>
          <s:t>COMPARE-5-V1</s:t>
        </s:is>
      </s:c>
      <s:c r="F14" s="3" t="inlineStr">
        <s:is>
          <s:t>2026-01-15T09:00:00+07:00</s:t>
        </s:is>
      </s:c>
      <s:c r="G14" s="2" t="n">
        <s:v>4</s:v>
      </s:c>
      <s:c r="H14" s="2" t="n">
        <s:v>3</s:v>
      </s:c>
      <s:c r="I14" s="2" t="n">
        <s:v>3</s:v>
      </s:c>
      <s:c r="J14" s="4" t="n">
        <s:v>0.5</s:v>
      </s:c>
      <s:c r="K14" s="4" t="n">
        <s:v>0.3</s:v>
      </s:c>
      <s:c r="L14" s="4" t="n">
        <s:v>0.2</s:v>
      </s:c>
      <s:c r="M14" s="4">
        <s:f>G14*J14+H14*K14+I14*L14</s:f>
        <s:v>3.5</s:v>
      </s:c>
      <s:c r="N14" s="3" t="inlineStr">
        <s:is>
          <s:t>MATCHED_SCRIPT_SIMULATED</s:t>
        </s:is>
      </s:c>
      <s:c r="O14" s="3" t="inlineStr">
        <s:is>
          <s:t>2026-01-01</s:t>
        </s:is>
      </s:c>
      <s:c r="P14" s="3" t="inlineStr">
        <s:is>
          <s:t>2026-01-31</s:t>
        </s:is>
      </s:c>
      <s:c r="Q14" s="3" t="inlineStr">
        <s:is>
          <s:t>2026-03-03T09:00:00+07:00</s:t>
        </s:is>
      </s:c>
    </s:row>
    <s:row r="15">
      <s:c r="A15" s="3" t="inlineStr">
        <s:is>
          <s:t>CMP-SUR-1-COMP-A-01</s:t>
        </s:is>
      </s:c>
      <s:c r="B15" s="3" t="inlineStr">
        <s:is>
          <s:t>COMP-A</s:t>
        </s:is>
      </s:c>
      <s:c r="C15" s="3" t="inlineStr">
        <s:is>
          <s:t>PROD-MILK</s:t>
        </s:is>
      </s:c>
      <s:c r="D15" s="3" t="inlineStr">
        <s:is>
          <s:t>AREA-A</s:t>
        </s:is>
      </s:c>
      <s:c r="E15" s="3" t="inlineStr">
        <s:is>
          <s:t>COMPARE-5-V1</s:t>
        </s:is>
      </s:c>
      <s:c r="F15" s="3" t="inlineStr">
        <s:is>
          <s:t>2026-01-16T09:00:00+07:00</s:t>
        </s:is>
      </s:c>
      <s:c r="G15" s="2" t="n">
        <s:v>4</s:v>
      </s:c>
      <s:c r="H15" s="2" t="n">
        <s:v>4</s:v>
      </s:c>
      <s:c r="I15" s="2" t="n">
        <s:v>3</s:v>
      </s:c>
      <s:c r="J15" s="4" t="n">
        <s:v>0.5</s:v>
      </s:c>
      <s:c r="K15" s="4" t="n">
        <s:v>0.3</s:v>
      </s:c>
      <s:c r="L15" s="4" t="n">
        <s:v>0.2</s:v>
      </s:c>
      <s:c r="M15" s="4">
        <s:f>G15*J15+H15*K15+I15*L15</s:f>
        <s:v>3.8</s:v>
      </s:c>
      <s:c r="N15" s="3" t="inlineStr">
        <s:is>
          <s:t>MATCHED_SCRIPT_SIMULATED</s:t>
        </s:is>
      </s:c>
      <s:c r="O15" s="3" t="inlineStr">
        <s:is>
          <s:t>2026-01-01</s:t>
        </s:is>
      </s:c>
      <s:c r="P15" s="3" t="inlineStr">
        <s:is>
          <s:t>2026-01-31</s:t>
        </s:is>
      </s:c>
      <s:c r="Q15" s="3" t="inlineStr">
        <s:is>
          <s:t>2026-03-03T09:00:00+07:00</s:t>
        </s:is>
      </s:c>
    </s:row>
    <s:row r="16">
      <s:c r="A16" s="3" t="inlineStr">
        <s:is>
          <s:t>CMP-SUR-1-COMP-A-02</s:t>
        </s:is>
      </s:c>
      <s:c r="B16" s="3" t="inlineStr">
        <s:is>
          <s:t>COMP-A</s:t>
        </s:is>
      </s:c>
      <s:c r="C16" s="3" t="inlineStr">
        <s:is>
          <s:t>PROD-MILK</s:t>
        </s:is>
      </s:c>
      <s:c r="D16" s="3" t="inlineStr">
        <s:is>
          <s:t>AREA-A</s:t>
        </s:is>
      </s:c>
      <s:c r="E16" s="3" t="inlineStr">
        <s:is>
          <s:t>COMPARE-5-V1</s:t>
        </s:is>
      </s:c>
      <s:c r="F16" s="3" t="inlineStr">
        <s:is>
          <s:t>2026-01-17T09:00:00+07:00</s:t>
        </s:is>
      </s:c>
      <s:c r="G16" s="2" t="n">
        <s:v>5</s:v>
      </s:c>
      <s:c r="H16" s="2" t="n">
        <s:v>4</s:v>
      </s:c>
      <s:c r="I16" s="2" t="n">
        <s:v>4</s:v>
      </s:c>
      <s:c r="J16" s="4" t="n">
        <s:v>0.5</s:v>
      </s:c>
      <s:c r="K16" s="4" t="n">
        <s:v>0.3</s:v>
      </s:c>
      <s:c r="L16" s="4" t="n">
        <s:v>0.2</s:v>
      </s:c>
      <s:c r="M16" s="4">
        <s:f>G16*J16+H16*K16+I16*L16</s:f>
        <s:v>4.5</s:v>
      </s:c>
      <s:c r="N16" s="3" t="inlineStr">
        <s:is>
          <s:t>MATCHED_SCRIPT_SIMULATED</s:t>
        </s:is>
      </s:c>
      <s:c r="O16" s="3" t="inlineStr">
        <s:is>
          <s:t>2026-01-01</s:t>
        </s:is>
      </s:c>
      <s:c r="P16" s="3" t="inlineStr">
        <s:is>
          <s:t>2026-01-31</s:t>
        </s:is>
      </s:c>
      <s:c r="Q16" s="3" t="inlineStr">
        <s:is>
          <s:t>2026-03-03T09:00:00+07:00</s:t>
        </s:is>
      </s:c>
    </s:row>
    <s:row r="17">
      <s:c r="A17" s="3" t="inlineStr">
        <s:is>
          <s:t>CMP-SUR-1-COMP-A-03</s:t>
        </s:is>
      </s:c>
      <s:c r="B17" s="3" t="inlineStr">
        <s:is>
          <s:t>COMP-A</s:t>
        </s:is>
      </s:c>
      <s:c r="C17" s="3" t="inlineStr">
        <s:is>
          <s:t>PROD-MILK</s:t>
        </s:is>
      </s:c>
      <s:c r="D17" s="3" t="inlineStr">
        <s:is>
          <s:t>AREA-A</s:t>
        </s:is>
      </s:c>
      <s:c r="E17" s="3" t="inlineStr">
        <s:is>
          <s:t>COMPARE-5-V1</s:t>
        </s:is>
      </s:c>
      <s:c r="F17" s="3" t="inlineStr">
        <s:is>
          <s:t>2026-01-18T09:00:00+07:00</s:t>
        </s:is>
      </s:c>
      <s:c r="G17" s="2" t="n">
        <s:v>3</s:v>
      </s:c>
      <s:c r="H17" s="2" t="n">
        <s:v>5</s:v>
      </s:c>
      <s:c r="I17" s="2" t="n">
        <s:v>4</s:v>
      </s:c>
      <s:c r="J17" s="4" t="n">
        <s:v>0.5</s:v>
      </s:c>
      <s:c r="K17" s="4" t="n">
        <s:v>0.3</s:v>
      </s:c>
      <s:c r="L17" s="4" t="n">
        <s:v>0.2</s:v>
      </s:c>
      <s:c r="M17" s="4">
        <s:f>G17*J17+H17*K17+I17*L17</s:f>
        <s:v>3.8</s:v>
      </s:c>
      <s:c r="N17" s="3" t="inlineStr">
        <s:is>
          <s:t>MATCHED_SCRIPT_SIMULATED</s:t>
        </s:is>
      </s:c>
      <s:c r="O17" s="3" t="inlineStr">
        <s:is>
          <s:t>2026-01-01</s:t>
        </s:is>
      </s:c>
      <s:c r="P17" s="3" t="inlineStr">
        <s:is>
          <s:t>2026-01-31</s:t>
        </s:is>
      </s:c>
      <s:c r="Q17" s="3" t="inlineStr">
        <s:is>
          <s:t>2026-03-03T09:00:00+07:00</s:t>
        </s:is>
      </s:c>
    </s:row>
    <s:row r="18">
      <s:c r="A18" s="3" t="inlineStr">
        <s:is>
          <s:t>CMP-SUR-1-COMP-A-04</s:t>
        </s:is>
      </s:c>
      <s:c r="B18" s="3" t="inlineStr">
        <s:is>
          <s:t>COMP-A</s:t>
        </s:is>
      </s:c>
      <s:c r="C18" s="3" t="inlineStr">
        <s:is>
          <s:t>PROD-MILK</s:t>
        </s:is>
      </s:c>
      <s:c r="D18" s="3" t="inlineStr">
        <s:is>
          <s:t>AREA-A</s:t>
        </s:is>
      </s:c>
      <s:c r="E18" s="3" t="inlineStr">
        <s:is>
          <s:t>COMPARE-5-V1</s:t>
        </s:is>
      </s:c>
      <s:c r="F18" s="3" t="inlineStr">
        <s:is>
          <s:t>2026-01-19T09:00:00+07:00</s:t>
        </s:is>
      </s:c>
      <s:c r="G18" s="2" t="n">
        <s:v>4</s:v>
      </s:c>
      <s:c r="H18" s="2" t="n">
        <s:v>3</s:v>
      </s:c>
      <s:c r="I18" s="2" t="n">
        <s:v>3</s:v>
      </s:c>
      <s:c r="J18" s="4" t="n">
        <s:v>0.5</s:v>
      </s:c>
      <s:c r="K18" s="4" t="n">
        <s:v>0.3</s:v>
      </s:c>
      <s:c r="L18" s="4" t="n">
        <s:v>0.2</s:v>
      </s:c>
      <s:c r="M18" s="4">
        <s:f>G18*J18+H18*K18+I18*L18</s:f>
        <s:v>3.5</s:v>
      </s:c>
      <s:c r="N18" s="3" t="inlineStr">
        <s:is>
          <s:t>MATCHED_SCRIPT_SIMULATED</s:t>
        </s:is>
      </s:c>
      <s:c r="O18" s="3" t="inlineStr">
        <s:is>
          <s:t>2026-01-01</s:t>
        </s:is>
      </s:c>
      <s:c r="P18" s="3" t="inlineStr">
        <s:is>
          <s:t>2026-01-31</s:t>
        </s:is>
      </s:c>
      <s:c r="Q18" s="3" t="inlineStr">
        <s:is>
          <s:t>2026-03-03T09:00:00+07:00</s:t>
        </s:is>
      </s:c>
    </s:row>
    <s:row r="19">
      <s:c r="A19" s="3" t="inlineStr">
        <s:is>
          <s:t>CMP-SUR-1-COMP-A-05</s:t>
        </s:is>
      </s:c>
      <s:c r="B19" s="3" t="inlineStr">
        <s:is>
          <s:t>COMP-A</s:t>
        </s:is>
      </s:c>
      <s:c r="C19" s="3" t="inlineStr">
        <s:is>
          <s:t>PROD-MILK</s:t>
        </s:is>
      </s:c>
      <s:c r="D19" s="3" t="inlineStr">
        <s:is>
          <s:t>AREA-A</s:t>
        </s:is>
      </s:c>
      <s:c r="E19" s="3" t="inlineStr">
        <s:is>
          <s:t>COMPARE-5-V1</s:t>
        </s:is>
      </s:c>
      <s:c r="F19" s="3" t="inlineStr">
        <s:is>
          <s:t>2026-01-20T09:00:00+07:00</s:t>
        </s:is>
      </s:c>
      <s:c r="G19" s="2" t="n">
        <s:v>4</s:v>
      </s:c>
      <s:c r="H19" s="2" t="n">
        <s:v>4</s:v>
      </s:c>
      <s:c r="I19" s="2" t="n">
        <s:v>3</s:v>
      </s:c>
      <s:c r="J19" s="4" t="n">
        <s:v>0.5</s:v>
      </s:c>
      <s:c r="K19" s="4" t="n">
        <s:v>0.3</s:v>
      </s:c>
      <s:c r="L19" s="4" t="n">
        <s:v>0.2</s:v>
      </s:c>
      <s:c r="M19" s="4">
        <s:f>G19*J19+H19*K19+I19*L19</s:f>
        <s:v>3.8</s:v>
      </s:c>
      <s:c r="N19" s="3" t="inlineStr">
        <s:is>
          <s:t>MATCHED_SCRIPT_SIMULATED</s:t>
        </s:is>
      </s:c>
      <s:c r="O19" s="3" t="inlineStr">
        <s:is>
          <s:t>2026-01-01</s:t>
        </s:is>
      </s:c>
      <s:c r="P19" s="3" t="inlineStr">
        <s:is>
          <s:t>2026-01-31</s:t>
        </s:is>
      </s:c>
      <s:c r="Q19" s="3" t="inlineStr">
        <s:is>
          <s:t>2026-03-03T09:00:00+07:00</s:t>
        </s:is>
      </s:c>
    </s:row>
    <s:row r="20">
      <s:c r="A20" s="3" t="inlineStr">
        <s:is>
          <s:t>CMP-SUR-1-COMP-A-06</s:t>
        </s:is>
      </s:c>
      <s:c r="B20" s="3" t="inlineStr">
        <s:is>
          <s:t>COMP-A</s:t>
        </s:is>
      </s:c>
      <s:c r="C20" s="3" t="inlineStr">
        <s:is>
          <s:t>PROD-MILK</s:t>
        </s:is>
      </s:c>
      <s:c r="D20" s="3" t="inlineStr">
        <s:is>
          <s:t>AREA-A</s:t>
        </s:is>
      </s:c>
      <s:c r="E20" s="3" t="inlineStr">
        <s:is>
          <s:t>COMPARE-5-V1</s:t>
        </s:is>
      </s:c>
      <s:c r="F20" s="3" t="inlineStr">
        <s:is>
          <s:t>2026-01-21T09:00:00+07:00</s:t>
        </s:is>
      </s:c>
      <s:c r="G20" s="2" t="n">
        <s:v>5</s:v>
      </s:c>
      <s:c r="H20" s="2" t="n">
        <s:v>4</s:v>
      </s:c>
      <s:c r="I20" s="2" t="n">
        <s:v>4</s:v>
      </s:c>
      <s:c r="J20" s="4" t="n">
        <s:v>0.5</s:v>
      </s:c>
      <s:c r="K20" s="4" t="n">
        <s:v>0.3</s:v>
      </s:c>
      <s:c r="L20" s="4" t="n">
        <s:v>0.2</s:v>
      </s:c>
      <s:c r="M20" s="4">
        <s:f>G20*J20+H20*K20+I20*L20</s:f>
        <s:v>4.5</s:v>
      </s:c>
      <s:c r="N20" s="3" t="inlineStr">
        <s:is>
          <s:t>MATCHED_SCRIPT_SIMULATED</s:t>
        </s:is>
      </s:c>
      <s:c r="O20" s="3" t="inlineStr">
        <s:is>
          <s:t>2026-01-01</s:t>
        </s:is>
      </s:c>
      <s:c r="P20" s="3" t="inlineStr">
        <s:is>
          <s:t>2026-01-31</s:t>
        </s:is>
      </s:c>
      <s:c r="Q20" s="3" t="inlineStr">
        <s:is>
          <s:t>2026-03-03T09:00:00+07:00</s:t>
        </s:is>
      </s:c>
    </s:row>
    <s:row r="21">
      <s:c r="A21" s="3" t="inlineStr">
        <s:is>
          <s:t>CMP-SUR-1-COMP-A-07</s:t>
        </s:is>
      </s:c>
      <s:c r="B21" s="3" t="inlineStr">
        <s:is>
          <s:t>COMP-A</s:t>
        </s:is>
      </s:c>
      <s:c r="C21" s="3" t="inlineStr">
        <s:is>
          <s:t>PROD-MILK</s:t>
        </s:is>
      </s:c>
      <s:c r="D21" s="3" t="inlineStr">
        <s:is>
          <s:t>AREA-A</s:t>
        </s:is>
      </s:c>
      <s:c r="E21" s="3" t="inlineStr">
        <s:is>
          <s:t>COMPARE-5-V1</s:t>
        </s:is>
      </s:c>
      <s:c r="F21" s="3" t="inlineStr">
        <s:is>
          <s:t>2026-01-22T09:00:00+07:00</s:t>
        </s:is>
      </s:c>
      <s:c r="G21" s="2" t="n">
        <s:v>3</s:v>
      </s:c>
      <s:c r="H21" s="2" t="n">
        <s:v>5</s:v>
      </s:c>
      <s:c r="I21" s="2" t="n">
        <s:v>4</s:v>
      </s:c>
      <s:c r="J21" s="4" t="n">
        <s:v>0.5</s:v>
      </s:c>
      <s:c r="K21" s="4" t="n">
        <s:v>0.3</s:v>
      </s:c>
      <s:c r="L21" s="4" t="n">
        <s:v>0.2</s:v>
      </s:c>
      <s:c r="M21" s="4">
        <s:f>G21*J21+H21*K21+I21*L21</s:f>
        <s:v>3.8</s:v>
      </s:c>
      <s:c r="N21" s="3" t="inlineStr">
        <s:is>
          <s:t>MATCHED_SCRIPT_SIMULATED</s:t>
        </s:is>
      </s:c>
      <s:c r="O21" s="3" t="inlineStr">
        <s:is>
          <s:t>2026-01-01</s:t>
        </s:is>
      </s:c>
      <s:c r="P21" s="3" t="inlineStr">
        <s:is>
          <s:t>2026-01-31</s:t>
        </s:is>
      </s:c>
      <s:c r="Q21" s="3" t="inlineStr">
        <s:is>
          <s:t>2026-03-03T09:00:00+07:00</s:t>
        </s:is>
      </s:c>
    </s:row>
    <s:row r="22">
      <s:c r="A22" s="3" t="inlineStr">
        <s:is>
          <s:t>CMP-SUR-1-COMP-A-08</s:t>
        </s:is>
      </s:c>
      <s:c r="B22" s="3" t="inlineStr">
        <s:is>
          <s:t>COMP-A</s:t>
        </s:is>
      </s:c>
      <s:c r="C22" s="3" t="inlineStr">
        <s:is>
          <s:t>PROD-MILK</s:t>
        </s:is>
      </s:c>
      <s:c r="D22" s="3" t="inlineStr">
        <s:is>
          <s:t>AREA-A</s:t>
        </s:is>
      </s:c>
      <s:c r="E22" s="3" t="inlineStr">
        <s:is>
          <s:t>COMPARE-5-V1</s:t>
        </s:is>
      </s:c>
      <s:c r="F22" s="3" t="inlineStr">
        <s:is>
          <s:t>2026-01-23T09:00:00+07:00</s:t>
        </s:is>
      </s:c>
      <s:c r="G22" s="2" t="n">
        <s:v>4</s:v>
      </s:c>
      <s:c r="H22" s="2" t="n">
        <s:v>3</s:v>
      </s:c>
      <s:c r="I22" s="2" t="n">
        <s:v>3</s:v>
      </s:c>
      <s:c r="J22" s="4" t="n">
        <s:v>0.5</s:v>
      </s:c>
      <s:c r="K22" s="4" t="n">
        <s:v>0.3</s:v>
      </s:c>
      <s:c r="L22" s="4" t="n">
        <s:v>0.2</s:v>
      </s:c>
      <s:c r="M22" s="4">
        <s:f>G22*J22+H22*K22+I22*L22</s:f>
        <s:v>3.5</s:v>
      </s:c>
      <s:c r="N22" s="3" t="inlineStr">
        <s:is>
          <s:t>MATCHED_SCRIPT_SIMULATED</s:t>
        </s:is>
      </s:c>
      <s:c r="O22" s="3" t="inlineStr">
        <s:is>
          <s:t>2026-01-01</s:t>
        </s:is>
      </s:c>
      <s:c r="P22" s="3" t="inlineStr">
        <s:is>
          <s:t>2026-01-31</s:t>
        </s:is>
      </s:c>
      <s:c r="Q22" s="3" t="inlineStr">
        <s:is>
          <s:t>2026-03-03T09:00:00+07:00</s:t>
        </s:is>
      </s:c>
    </s:row>
    <s:row r="23">
      <s:c r="A23" s="3" t="inlineStr">
        <s:is>
          <s:t>CMP-SUR-1-COMP-A-09</s:t>
        </s:is>
      </s:c>
      <s:c r="B23" s="3" t="inlineStr">
        <s:is>
          <s:t>COMP-A</s:t>
        </s:is>
      </s:c>
      <s:c r="C23" s="3" t="inlineStr">
        <s:is>
          <s:t>PROD-MILK</s:t>
        </s:is>
      </s:c>
      <s:c r="D23" s="3" t="inlineStr">
        <s:is>
          <s:t>AREA-A</s:t>
        </s:is>
      </s:c>
      <s:c r="E23" s="3" t="inlineStr">
        <s:is>
          <s:t>COMPARE-5-V1</s:t>
        </s:is>
      </s:c>
      <s:c r="F23" s="3" t="inlineStr">
        <s:is>
          <s:t>2026-01-24T09:00:00+07:00</s:t>
        </s:is>
      </s:c>
      <s:c r="G23" s="2" t="n">
        <s:v>4</s:v>
      </s:c>
      <s:c r="H23" s="2" t="n">
        <s:v>4</s:v>
      </s:c>
      <s:c r="I23" s="2" t="n">
        <s:v>3</s:v>
      </s:c>
      <s:c r="J23" s="4" t="n">
        <s:v>0.5</s:v>
      </s:c>
      <s:c r="K23" s="4" t="n">
        <s:v>0.3</s:v>
      </s:c>
      <s:c r="L23" s="4" t="n">
        <s:v>0.2</s:v>
      </s:c>
      <s:c r="M23" s="4">
        <s:f>G23*J23+H23*K23+I23*L23</s:f>
        <s:v>3.8</s:v>
      </s:c>
      <s:c r="N23" s="3" t="inlineStr">
        <s:is>
          <s:t>MATCHED_SCRIPT_SIMULATED</s:t>
        </s:is>
      </s:c>
      <s:c r="O23" s="3" t="inlineStr">
        <s:is>
          <s:t>2026-01-01</s:t>
        </s:is>
      </s:c>
      <s:c r="P23" s="3" t="inlineStr">
        <s:is>
          <s:t>2026-01-31</s:t>
        </s:is>
      </s:c>
      <s:c r="Q23" s="3" t="inlineStr">
        <s:is>
          <s:t>2026-03-03T09:00:00+07:00</s:t>
        </s:is>
      </s:c>
    </s:row>
    <s:row r="24">
      <s:c r="A24" s="3" t="inlineStr">
        <s:is>
          <s:t>CMP-SUR-1-COMP-A-10</s:t>
        </s:is>
      </s:c>
      <s:c r="B24" s="3" t="inlineStr">
        <s:is>
          <s:t>COMP-A</s:t>
        </s:is>
      </s:c>
      <s:c r="C24" s="3" t="inlineStr">
        <s:is>
          <s:t>PROD-MILK</s:t>
        </s:is>
      </s:c>
      <s:c r="D24" s="3" t="inlineStr">
        <s:is>
          <s:t>AREA-A</s:t>
        </s:is>
      </s:c>
      <s:c r="E24" s="3" t="inlineStr">
        <s:is>
          <s:t>COMPARE-5-V1</s:t>
        </s:is>
      </s:c>
      <s:c r="F24" s="3" t="inlineStr">
        <s:is>
          <s:t>2026-01-25T09:00:00+07:00</s:t>
        </s:is>
      </s:c>
      <s:c r="G24" s="2" t="n">
        <s:v>5</s:v>
      </s:c>
      <s:c r="H24" s="2" t="n">
        <s:v>4</s:v>
      </s:c>
      <s:c r="I24" s="2" t="n">
        <s:v>4</s:v>
      </s:c>
      <s:c r="J24" s="4" t="n">
        <s:v>0.5</s:v>
      </s:c>
      <s:c r="K24" s="4" t="n">
        <s:v>0.3</s:v>
      </s:c>
      <s:c r="L24" s="4" t="n">
        <s:v>0.2</s:v>
      </s:c>
      <s:c r="M24" s="4">
        <s:f>G24*J24+H24*K24+I24*L24</s:f>
        <s:v>4.5</s:v>
      </s:c>
      <s:c r="N24" s="3" t="inlineStr">
        <s:is>
          <s:t>MATCHED_SCRIPT_SIMULATED</s:t>
        </s:is>
      </s:c>
      <s:c r="O24" s="3" t="inlineStr">
        <s:is>
          <s:t>2026-01-01</s:t>
        </s:is>
      </s:c>
      <s:c r="P24" s="3" t="inlineStr">
        <s:is>
          <s:t>2026-01-31</s:t>
        </s:is>
      </s:c>
      <s:c r="Q24" s="3" t="inlineStr">
        <s:is>
          <s:t>2026-03-03T09:00:00+07:00</s:t>
        </s:is>
      </s:c>
    </s:row>
    <s:row r="25">
      <s:c r="A25" s="3" t="inlineStr">
        <s:is>
          <s:t>CMP-SUR-1-COMP-A-11</s:t>
        </s:is>
      </s:c>
      <s:c r="B25" s="3" t="inlineStr">
        <s:is>
          <s:t>COMP-A</s:t>
        </s:is>
      </s:c>
      <s:c r="C25" s="3" t="inlineStr">
        <s:is>
          <s:t>PROD-MILK</s:t>
        </s:is>
      </s:c>
      <s:c r="D25" s="3" t="inlineStr">
        <s:is>
          <s:t>AREA-A</s:t>
        </s:is>
      </s:c>
      <s:c r="E25" s="3" t="inlineStr">
        <s:is>
          <s:t>COMPARE-5-V1</s:t>
        </s:is>
      </s:c>
      <s:c r="F25" s="3" t="inlineStr">
        <s:is>
          <s:t>2026-01-26T09:00:00+07:00</s:t>
        </s:is>
      </s:c>
      <s:c r="G25" s="2" t="n">
        <s:v>3</s:v>
      </s:c>
      <s:c r="H25" s="2" t="n">
        <s:v>5</s:v>
      </s:c>
      <s:c r="I25" s="2" t="n">
        <s:v>4</s:v>
      </s:c>
      <s:c r="J25" s="4" t="n">
        <s:v>0.5</s:v>
      </s:c>
      <s:c r="K25" s="4" t="n">
        <s:v>0.3</s:v>
      </s:c>
      <s:c r="L25" s="4" t="n">
        <s:v>0.2</s:v>
      </s:c>
      <s:c r="M25" s="4">
        <s:f>G25*J25+H25*K25+I25*L25</s:f>
        <s:v>3.8</s:v>
      </s:c>
      <s:c r="N25" s="3" t="inlineStr">
        <s:is>
          <s:t>MATCHED_SCRIPT_SIMULATED</s:t>
        </s:is>
      </s:c>
      <s:c r="O25" s="3" t="inlineStr">
        <s:is>
          <s:t>2026-01-01</s:t>
        </s:is>
      </s:c>
      <s:c r="P25" s="3" t="inlineStr">
        <s:is>
          <s:t>2026-01-31</s:t>
        </s:is>
      </s:c>
      <s:c r="Q25" s="3" t="inlineStr">
        <s:is>
          <s:t>2026-03-03T09:00:00+07:00</s:t>
        </s:is>
      </s:c>
    </s:row>
    <s:row r="26">
      <s:c r="A26" s="3" t="inlineStr">
        <s:is>
          <s:t>CMP-SUR-1-COMP-B-00</s:t>
        </s:is>
      </s:c>
      <s:c r="B26" s="3" t="inlineStr">
        <s:is>
          <s:t>COMP-B</s:t>
        </s:is>
      </s:c>
      <s:c r="C26" s="3" t="inlineStr">
        <s:is>
          <s:t>PROD-MILK</s:t>
        </s:is>
      </s:c>
      <s:c r="D26" s="3" t="inlineStr">
        <s:is>
          <s:t>AREA-A</s:t>
        </s:is>
      </s:c>
      <s:c r="E26" s="3" t="inlineStr">
        <s:is>
          <s:t>COMPARE-5-V1</s:t>
        </s:is>
      </s:c>
      <s:c r="F26" s="3" t="inlineStr">
        <s:is>
          <s:t>2026-01-15T09:00:00+07:00</s:t>
        </s:is>
      </s:c>
      <s:c r="G26" s="2" t="n">
        <s:v>4</s:v>
      </s:c>
      <s:c r="H26" s="2" t="n">
        <s:v>3</s:v>
      </s:c>
      <s:c r="I26" s="2" t="n">
        <s:v>3</s:v>
      </s:c>
      <s:c r="J26" s="4" t="n">
        <s:v>0.5</s:v>
      </s:c>
      <s:c r="K26" s="4" t="n">
        <s:v>0.3</s:v>
      </s:c>
      <s:c r="L26" s="4" t="n">
        <s:v>0.2</s:v>
      </s:c>
      <s:c r="M26" s="4">
        <s:f>G26*J26+H26*K26+I26*L26</s:f>
        <s:v>3.5</s:v>
      </s:c>
      <s:c r="N26" s="3" t="inlineStr">
        <s:is>
          <s:t>MATCHED_SCRIPT_SIMULATED</s:t>
        </s:is>
      </s:c>
      <s:c r="O26" s="3" t="inlineStr">
        <s:is>
          <s:t>2026-01-01</s:t>
        </s:is>
      </s:c>
      <s:c r="P26" s="3" t="inlineStr">
        <s:is>
          <s:t>2026-01-31</s:t>
        </s:is>
      </s:c>
      <s:c r="Q26" s="3" t="inlineStr">
        <s:is>
          <s:t>2026-03-03T09:00:00+07:00</s:t>
        </s:is>
      </s:c>
    </s:row>
    <s:row r="27">
      <s:c r="A27" s="3" t="inlineStr">
        <s:is>
          <s:t>CMP-SUR-1-COMP-B-01</s:t>
        </s:is>
      </s:c>
      <s:c r="B27" s="3" t="inlineStr">
        <s:is>
          <s:t>COMP-B</s:t>
        </s:is>
      </s:c>
      <s:c r="C27" s="3" t="inlineStr">
        <s:is>
          <s:t>PROD-MILK</s:t>
        </s:is>
      </s:c>
      <s:c r="D27" s="3" t="inlineStr">
        <s:is>
          <s:t>AREA-A</s:t>
        </s:is>
      </s:c>
      <s:c r="E27" s="3" t="inlineStr">
        <s:is>
          <s:t>COMPARE-5-V1</s:t>
        </s:is>
      </s:c>
      <s:c r="F27" s="3" t="inlineStr">
        <s:is>
          <s:t>2026-01-16T09:00:00+07:00</s:t>
        </s:is>
      </s:c>
      <s:c r="G27" s="2" t="n">
        <s:v>5</s:v>
      </s:c>
      <s:c r="H27" s="2" t="n">
        <s:v>4</s:v>
      </s:c>
      <s:c r="I27" s="2" t="n">
        <s:v>3</s:v>
      </s:c>
      <s:c r="J27" s="4" t="n">
        <s:v>0.5</s:v>
      </s:c>
      <s:c r="K27" s="4" t="n">
        <s:v>0.3</s:v>
      </s:c>
      <s:c r="L27" s="4" t="n">
        <s:v>0.2</s:v>
      </s:c>
      <s:c r="M27" s="4">
        <s:f>G27*J27+H27*K27+I27*L27</s:f>
        <s:v>4.3</s:v>
      </s:c>
      <s:c r="N27" s="3" t="inlineStr">
        <s:is>
          <s:t>MATCHED_SCRIPT_SIMULATED</s:t>
        </s:is>
      </s:c>
      <s:c r="O27" s="3" t="inlineStr">
        <s:is>
          <s:t>2026-01-01</s:t>
        </s:is>
      </s:c>
      <s:c r="P27" s="3" t="inlineStr">
        <s:is>
          <s:t>2026-01-31</s:t>
        </s:is>
      </s:c>
      <s:c r="Q27" s="3" t="inlineStr">
        <s:is>
          <s:t>2026-03-03T09:00:00+07:00</s:t>
        </s:is>
      </s:c>
    </s:row>
    <s:row r="28">
      <s:c r="A28" s="3" t="inlineStr">
        <s:is>
          <s:t>CMP-SUR-1-COMP-B-02</s:t>
        </s:is>
      </s:c>
      <s:c r="B28" s="3" t="inlineStr">
        <s:is>
          <s:t>COMP-B</s:t>
        </s:is>
      </s:c>
      <s:c r="C28" s="3" t="inlineStr">
        <s:is>
          <s:t>PROD-MILK</s:t>
        </s:is>
      </s:c>
      <s:c r="D28" s="3" t="inlineStr">
        <s:is>
          <s:t>AREA-A</s:t>
        </s:is>
      </s:c>
      <s:c r="E28" s="3" t="inlineStr">
        <s:is>
          <s:t>COMPARE-5-V1</s:t>
        </s:is>
      </s:c>
      <s:c r="F28" s="3" t="inlineStr">
        <s:is>
          <s:t>2026-01-17T09:00:00+07:00</s:t>
        </s:is>
      </s:c>
      <s:c r="G28" s="2" t="n">
        <s:v>3</s:v>
      </s:c>
      <s:c r="H28" s="2" t="n">
        <s:v>4</s:v>
      </s:c>
      <s:c r="I28" s="2" t="n">
        <s:v>4</s:v>
      </s:c>
      <s:c r="J28" s="4" t="n">
        <s:v>0.5</s:v>
      </s:c>
      <s:c r="K28" s="4" t="n">
        <s:v>0.3</s:v>
      </s:c>
      <s:c r="L28" s="4" t="n">
        <s:v>0.2</s:v>
      </s:c>
      <s:c r="M28" s="4">
        <s:f>G28*J28+H28*K28+I28*L28</s:f>
        <s:v>3.5</s:v>
      </s:c>
      <s:c r="N28" s="3" t="inlineStr">
        <s:is>
          <s:t>MATCHED_SCRIPT_SIMULATED</s:t>
        </s:is>
      </s:c>
      <s:c r="O28" s="3" t="inlineStr">
        <s:is>
          <s:t>2026-01-01</s:t>
        </s:is>
      </s:c>
      <s:c r="P28" s="3" t="inlineStr">
        <s:is>
          <s:t>2026-01-31</s:t>
        </s:is>
      </s:c>
      <s:c r="Q28" s="3" t="inlineStr">
        <s:is>
          <s:t>2026-03-03T09:00:00+07:00</s:t>
        </s:is>
      </s:c>
    </s:row>
    <s:row r="29">
      <s:c r="A29" s="3" t="inlineStr">
        <s:is>
          <s:t>CMP-SUR-1-COMP-B-03</s:t>
        </s:is>
      </s:c>
      <s:c r="B29" s="3" t="inlineStr">
        <s:is>
          <s:t>COMP-B</s:t>
        </s:is>
      </s:c>
      <s:c r="C29" s="3" t="inlineStr">
        <s:is>
          <s:t>PROD-MILK</s:t>
        </s:is>
      </s:c>
      <s:c r="D29" s="3" t="inlineStr">
        <s:is>
          <s:t>AREA-A</s:t>
        </s:is>
      </s:c>
      <s:c r="E29" s="3" t="inlineStr">
        <s:is>
          <s:t>COMPARE-5-V1</s:t>
        </s:is>
      </s:c>
      <s:c r="F29" s="3" t="inlineStr">
        <s:is>
          <s:t>2026-01-18T09:00:00+07:00</s:t>
        </s:is>
      </s:c>
      <s:c r="G29" s="2" t="n">
        <s:v>4</s:v>
      </s:c>
      <s:c r="H29" s="2" t="n">
        <s:v>5</s:v>
      </s:c>
      <s:c r="I29" s="2" t="n">
        <s:v>4</s:v>
      </s:c>
      <s:c r="J29" s="4" t="n">
        <s:v>0.5</s:v>
      </s:c>
      <s:c r="K29" s="4" t="n">
        <s:v>0.3</s:v>
      </s:c>
      <s:c r="L29" s="4" t="n">
        <s:v>0.2</s:v>
      </s:c>
      <s:c r="M29" s="4">
        <s:f>G29*J29+H29*K29+I29*L29</s:f>
        <s:v>4.3</s:v>
      </s:c>
      <s:c r="N29" s="3" t="inlineStr">
        <s:is>
          <s:t>MATCHED_SCRIPT_SIMULATED</s:t>
        </s:is>
      </s:c>
      <s:c r="O29" s="3" t="inlineStr">
        <s:is>
          <s:t>2026-01-01</s:t>
        </s:is>
      </s:c>
      <s:c r="P29" s="3" t="inlineStr">
        <s:is>
          <s:t>2026-01-31</s:t>
        </s:is>
      </s:c>
      <s:c r="Q29" s="3" t="inlineStr">
        <s:is>
          <s:t>2026-03-03T09:00:00+07:00</s:t>
        </s:is>
      </s:c>
    </s:row>
    <s:row r="30">
      <s:c r="A30" s="3" t="inlineStr">
        <s:is>
          <s:t>CMP-SUR-1-COMP-B-04</s:t>
        </s:is>
      </s:c>
      <s:c r="B30" s="3" t="inlineStr">
        <s:is>
          <s:t>COMP-B</s:t>
        </s:is>
      </s:c>
      <s:c r="C30" s="3" t="inlineStr">
        <s:is>
          <s:t>PROD-MILK</s:t>
        </s:is>
      </s:c>
      <s:c r="D30" s="3" t="inlineStr">
        <s:is>
          <s:t>AREA-A</s:t>
        </s:is>
      </s:c>
      <s:c r="E30" s="3" t="inlineStr">
        <s:is>
          <s:t>COMPARE-5-V1</s:t>
        </s:is>
      </s:c>
      <s:c r="F30" s="3" t="inlineStr">
        <s:is>
          <s:t>2026-01-19T09:00:00+07:00</s:t>
        </s:is>
      </s:c>
      <s:c r="G30" s="2" t="n">
        <s:v>4</s:v>
      </s:c>
      <s:c r="H30" s="2" t="n">
        <s:v>3</s:v>
      </s:c>
      <s:c r="I30" s="2" t="n">
        <s:v>3</s:v>
      </s:c>
      <s:c r="J30" s="4" t="n">
        <s:v>0.5</s:v>
      </s:c>
      <s:c r="K30" s="4" t="n">
        <s:v>0.3</s:v>
      </s:c>
      <s:c r="L30" s="4" t="n">
        <s:v>0.2</s:v>
      </s:c>
      <s:c r="M30" s="4">
        <s:f>G30*J30+H30*K30+I30*L30</s:f>
        <s:v>3.5</s:v>
      </s:c>
      <s:c r="N30" s="3" t="inlineStr">
        <s:is>
          <s:t>MATCHED_SCRIPT_SIMULATED</s:t>
        </s:is>
      </s:c>
      <s:c r="O30" s="3" t="inlineStr">
        <s:is>
          <s:t>2026-01-01</s:t>
        </s:is>
      </s:c>
      <s:c r="P30" s="3" t="inlineStr">
        <s:is>
          <s:t>2026-01-31</s:t>
        </s:is>
      </s:c>
      <s:c r="Q30" s="3" t="inlineStr">
        <s:is>
          <s:t>2026-03-03T09:00:00+07:00</s:t>
        </s:is>
      </s:c>
    </s:row>
    <s:row r="31">
      <s:c r="A31" s="3" t="inlineStr">
        <s:is>
          <s:t>CMP-SUR-1-COMP-B-05</s:t>
        </s:is>
      </s:c>
      <s:c r="B31" s="3" t="inlineStr">
        <s:is>
          <s:t>COMP-B</s:t>
        </s:is>
      </s:c>
      <s:c r="C31" s="3" t="inlineStr">
        <s:is>
          <s:t>PROD-MILK</s:t>
        </s:is>
      </s:c>
      <s:c r="D31" s="3" t="inlineStr">
        <s:is>
          <s:t>AREA-A</s:t>
        </s:is>
      </s:c>
      <s:c r="E31" s="3" t="inlineStr">
        <s:is>
          <s:t>COMPARE-5-V1</s:t>
        </s:is>
      </s:c>
      <s:c r="F31" s="3" t="inlineStr">
        <s:is>
          <s:t>2026-01-20T09:00:00+07:00</s:t>
        </s:is>
      </s:c>
      <s:c r="G31" s="2" t="n">
        <s:v>5</s:v>
      </s:c>
      <s:c r="H31" s="2" t="n">
        <s:v>4</s:v>
      </s:c>
      <s:c r="I31" s="2" t="n">
        <s:v>3</s:v>
      </s:c>
      <s:c r="J31" s="4" t="n">
        <s:v>0.5</s:v>
      </s:c>
      <s:c r="K31" s="4" t="n">
        <s:v>0.3</s:v>
      </s:c>
      <s:c r="L31" s="4" t="n">
        <s:v>0.2</s:v>
      </s:c>
      <s:c r="M31" s="4">
        <s:f>G31*J31+H31*K31+I31*L31</s:f>
        <s:v>4.3</s:v>
      </s:c>
      <s:c r="N31" s="3" t="inlineStr">
        <s:is>
          <s:t>MATCHED_SCRIPT_SIMULATED</s:t>
        </s:is>
      </s:c>
      <s:c r="O31" s="3" t="inlineStr">
        <s:is>
          <s:t>2026-01-01</s:t>
        </s:is>
      </s:c>
      <s:c r="P31" s="3" t="inlineStr">
        <s:is>
          <s:t>2026-01-31</s:t>
        </s:is>
      </s:c>
      <s:c r="Q31" s="3" t="inlineStr">
        <s:is>
          <s:t>2026-03-03T09:00:00+07:00</s:t>
        </s:is>
      </s:c>
    </s:row>
    <s:row r="32">
      <s:c r="A32" s="3" t="inlineStr">
        <s:is>
          <s:t>CMP-SUR-1-COMP-B-06</s:t>
        </s:is>
      </s:c>
      <s:c r="B32" s="3" t="inlineStr">
        <s:is>
          <s:t>COMP-B</s:t>
        </s:is>
      </s:c>
      <s:c r="C32" s="3" t="inlineStr">
        <s:is>
          <s:t>PROD-MILK</s:t>
        </s:is>
      </s:c>
      <s:c r="D32" s="3" t="inlineStr">
        <s:is>
          <s:t>AREA-A</s:t>
        </s:is>
      </s:c>
      <s:c r="E32" s="3" t="inlineStr">
        <s:is>
          <s:t>COMPARE-5-V1</s:t>
        </s:is>
      </s:c>
      <s:c r="F32" s="3" t="inlineStr">
        <s:is>
          <s:t>2026-01-21T09:00:00+07:00</s:t>
        </s:is>
      </s:c>
      <s:c r="G32" s="2" t="n">
        <s:v>3</s:v>
      </s:c>
      <s:c r="H32" s="2" t="n">
        <s:v>4</s:v>
      </s:c>
      <s:c r="I32" s="2" t="n">
        <s:v>4</s:v>
      </s:c>
      <s:c r="J32" s="4" t="n">
        <s:v>0.5</s:v>
      </s:c>
      <s:c r="K32" s="4" t="n">
        <s:v>0.3</s:v>
      </s:c>
      <s:c r="L32" s="4" t="n">
        <s:v>0.2</s:v>
      </s:c>
      <s:c r="M32" s="4">
        <s:f>G32*J32+H32*K32+I32*L32</s:f>
        <s:v>3.5</s:v>
      </s:c>
      <s:c r="N32" s="3" t="inlineStr">
        <s:is>
          <s:t>MATCHED_SCRIPT_SIMULATED</s:t>
        </s:is>
      </s:c>
      <s:c r="O32" s="3" t="inlineStr">
        <s:is>
          <s:t>2026-01-01</s:t>
        </s:is>
      </s:c>
      <s:c r="P32" s="3" t="inlineStr">
        <s:is>
          <s:t>2026-01-31</s:t>
        </s:is>
      </s:c>
      <s:c r="Q32" s="3" t="inlineStr">
        <s:is>
          <s:t>2026-03-03T09:00:00+07:00</s:t>
        </s:is>
      </s:c>
    </s:row>
    <s:row r="33">
      <s:c r="A33" s="3" t="inlineStr">
        <s:is>
          <s:t>CMP-SUR-1-COMP-B-07</s:t>
        </s:is>
      </s:c>
      <s:c r="B33" s="3" t="inlineStr">
        <s:is>
          <s:t>COMP-B</s:t>
        </s:is>
      </s:c>
      <s:c r="C33" s="3" t="inlineStr">
        <s:is>
          <s:t>PROD-MILK</s:t>
        </s:is>
      </s:c>
      <s:c r="D33" s="3" t="inlineStr">
        <s:is>
          <s:t>AREA-A</s:t>
        </s:is>
      </s:c>
      <s:c r="E33" s="3" t="inlineStr">
        <s:is>
          <s:t>COMPARE-5-V1</s:t>
        </s:is>
      </s:c>
      <s:c r="F33" s="3" t="inlineStr">
        <s:is>
          <s:t>2026-01-22T09:00:00+07:00</s:t>
        </s:is>
      </s:c>
      <s:c r="G33" s="2" t="n">
        <s:v>4</s:v>
      </s:c>
      <s:c r="H33" s="2" t="n">
        <s:v>5</s:v>
      </s:c>
      <s:c r="I33" s="2" t="n">
        <s:v>4</s:v>
      </s:c>
      <s:c r="J33" s="4" t="n">
        <s:v>0.5</s:v>
      </s:c>
      <s:c r="K33" s="4" t="n">
        <s:v>0.3</s:v>
      </s:c>
      <s:c r="L33" s="4" t="n">
        <s:v>0.2</s:v>
      </s:c>
      <s:c r="M33" s="4">
        <s:f>G33*J33+H33*K33+I33*L33</s:f>
        <s:v>4.3</s:v>
      </s:c>
      <s:c r="N33" s="3" t="inlineStr">
        <s:is>
          <s:t>MATCHED_SCRIPT_SIMULATED</s:t>
        </s:is>
      </s:c>
      <s:c r="O33" s="3" t="inlineStr">
        <s:is>
          <s:t>2026-01-01</s:t>
        </s:is>
      </s:c>
      <s:c r="P33" s="3" t="inlineStr">
        <s:is>
          <s:t>2026-01-31</s:t>
        </s:is>
      </s:c>
      <s:c r="Q33" s="3" t="inlineStr">
        <s:is>
          <s:t>2026-03-03T09:00:00+07:00</s:t>
        </s:is>
      </s:c>
    </s:row>
    <s:row r="34">
      <s:c r="A34" s="3" t="inlineStr">
        <s:is>
          <s:t>CMP-SUR-1-COMP-B-08</s:t>
        </s:is>
      </s:c>
      <s:c r="B34" s="3" t="inlineStr">
        <s:is>
          <s:t>COMP-B</s:t>
        </s:is>
      </s:c>
      <s:c r="C34" s="3" t="inlineStr">
        <s:is>
          <s:t>PROD-MILK</s:t>
        </s:is>
      </s:c>
      <s:c r="D34" s="3" t="inlineStr">
        <s:is>
          <s:t>AREA-A</s:t>
        </s:is>
      </s:c>
      <s:c r="E34" s="3" t="inlineStr">
        <s:is>
          <s:t>COMPARE-5-V1</s:t>
        </s:is>
      </s:c>
      <s:c r="F34" s="3" t="inlineStr">
        <s:is>
          <s:t>2026-01-23T09:00:00+07:00</s:t>
        </s:is>
      </s:c>
      <s:c r="G34" s="2" t="n">
        <s:v>4</s:v>
      </s:c>
      <s:c r="H34" s="2" t="n">
        <s:v>3</s:v>
      </s:c>
      <s:c r="I34" s="2" t="n">
        <s:v>3</s:v>
      </s:c>
      <s:c r="J34" s="4" t="n">
        <s:v>0.5</s:v>
      </s:c>
      <s:c r="K34" s="4" t="n">
        <s:v>0.3</s:v>
      </s:c>
      <s:c r="L34" s="4" t="n">
        <s:v>0.2</s:v>
      </s:c>
      <s:c r="M34" s="4">
        <s:f>G34*J34+H34*K34+I34*L34</s:f>
        <s:v>3.5</s:v>
      </s:c>
      <s:c r="N34" s="3" t="inlineStr">
        <s:is>
          <s:t>MATCHED_SCRIPT_SIMULATED</s:t>
        </s:is>
      </s:c>
      <s:c r="O34" s="3" t="inlineStr">
        <s:is>
          <s:t>2026-01-01</s:t>
        </s:is>
      </s:c>
      <s:c r="P34" s="3" t="inlineStr">
        <s:is>
          <s:t>2026-01-31</s:t>
        </s:is>
      </s:c>
      <s:c r="Q34" s="3" t="inlineStr">
        <s:is>
          <s:t>2026-03-03T09:00:00+07:00</s:t>
        </s:is>
      </s:c>
    </s:row>
    <s:row r="35">
      <s:c r="A35" s="3" t="inlineStr">
        <s:is>
          <s:t>CMP-SUR-1-COMP-B-09</s:t>
        </s:is>
      </s:c>
      <s:c r="B35" s="3" t="inlineStr">
        <s:is>
          <s:t>COMP-B</s:t>
        </s:is>
      </s:c>
      <s:c r="C35" s="3" t="inlineStr">
        <s:is>
          <s:t>PROD-MILK</s:t>
        </s:is>
      </s:c>
      <s:c r="D35" s="3" t="inlineStr">
        <s:is>
          <s:t>AREA-A</s:t>
        </s:is>
      </s:c>
      <s:c r="E35" s="3" t="inlineStr">
        <s:is>
          <s:t>COMPARE-5-V1</s:t>
        </s:is>
      </s:c>
      <s:c r="F35" s="3" t="inlineStr">
        <s:is>
          <s:t>2026-01-24T09:00:00+07:00</s:t>
        </s:is>
      </s:c>
      <s:c r="G35" s="2" t="n">
        <s:v>5</s:v>
      </s:c>
      <s:c r="H35" s="2" t="n">
        <s:v>4</s:v>
      </s:c>
      <s:c r="I35" s="2" t="n">
        <s:v>3</s:v>
      </s:c>
      <s:c r="J35" s="4" t="n">
        <s:v>0.5</s:v>
      </s:c>
      <s:c r="K35" s="4" t="n">
        <s:v>0.3</s:v>
      </s:c>
      <s:c r="L35" s="4" t="n">
        <s:v>0.2</s:v>
      </s:c>
      <s:c r="M35" s="4">
        <s:f>G35*J35+H35*K35+I35*L35</s:f>
        <s:v>4.3</s:v>
      </s:c>
      <s:c r="N35" s="3" t="inlineStr">
        <s:is>
          <s:t>MATCHED_SCRIPT_SIMULATED</s:t>
        </s:is>
      </s:c>
      <s:c r="O35" s="3" t="inlineStr">
        <s:is>
          <s:t>2026-01-01</s:t>
        </s:is>
      </s:c>
      <s:c r="P35" s="3" t="inlineStr">
        <s:is>
          <s:t>2026-01-31</s:t>
        </s:is>
      </s:c>
      <s:c r="Q35" s="3" t="inlineStr">
        <s:is>
          <s:t>2026-03-03T09:00:00+07:00</s:t>
        </s:is>
      </s:c>
    </s:row>
    <s:row r="36">
      <s:c r="A36" s="3" t="inlineStr">
        <s:is>
          <s:t>CMP-SUR-1-COMP-B-10</s:t>
        </s:is>
      </s:c>
      <s:c r="B36" s="3" t="inlineStr">
        <s:is>
          <s:t>COMP-B</s:t>
        </s:is>
      </s:c>
      <s:c r="C36" s="3" t="inlineStr">
        <s:is>
          <s:t>PROD-MILK</s:t>
        </s:is>
      </s:c>
      <s:c r="D36" s="3" t="inlineStr">
        <s:is>
          <s:t>AREA-A</s:t>
        </s:is>
      </s:c>
      <s:c r="E36" s="3" t="inlineStr">
        <s:is>
          <s:t>COMPARE-5-V1</s:t>
        </s:is>
      </s:c>
      <s:c r="F36" s="3" t="inlineStr">
        <s:is>
          <s:t>2026-01-25T09:00:00+07:00</s:t>
        </s:is>
      </s:c>
      <s:c r="G36" s="2" t="n">
        <s:v>3</s:v>
      </s:c>
      <s:c r="H36" s="2" t="n">
        <s:v>4</s:v>
      </s:c>
      <s:c r="I36" s="2" t="n">
        <s:v>4</s:v>
      </s:c>
      <s:c r="J36" s="4" t="n">
        <s:v>0.5</s:v>
      </s:c>
      <s:c r="K36" s="4" t="n">
        <s:v>0.3</s:v>
      </s:c>
      <s:c r="L36" s="4" t="n">
        <s:v>0.2</s:v>
      </s:c>
      <s:c r="M36" s="4">
        <s:f>G36*J36+H36*K36+I36*L36</s:f>
        <s:v>3.5</s:v>
      </s:c>
      <s:c r="N36" s="3" t="inlineStr">
        <s:is>
          <s:t>MATCHED_SCRIPT_SIMULATED</s:t>
        </s:is>
      </s:c>
      <s:c r="O36" s="3" t="inlineStr">
        <s:is>
          <s:t>2026-01-01</s:t>
        </s:is>
      </s:c>
      <s:c r="P36" s="3" t="inlineStr">
        <s:is>
          <s:t>2026-01-31</s:t>
        </s:is>
      </s:c>
      <s:c r="Q36" s="3" t="inlineStr">
        <s:is>
          <s:t>2026-03-03T09:00:00+07:00</s:t>
        </s:is>
      </s:c>
    </s:row>
    <s:row r="37">
      <s:c r="A37" s="3" t="inlineStr">
        <s:is>
          <s:t>CMP-SUR-1-COMP-B-11</s:t>
        </s:is>
      </s:c>
      <s:c r="B37" s="3" t="inlineStr">
        <s:is>
          <s:t>COMP-B</s:t>
        </s:is>
      </s:c>
      <s:c r="C37" s="3" t="inlineStr">
        <s:is>
          <s:t>PROD-MILK</s:t>
        </s:is>
      </s:c>
      <s:c r="D37" s="3" t="inlineStr">
        <s:is>
          <s:t>AREA-A</s:t>
        </s:is>
      </s:c>
      <s:c r="E37" s="3" t="inlineStr">
        <s:is>
          <s:t>COMPARE-5-V1</s:t>
        </s:is>
      </s:c>
      <s:c r="F37" s="3" t="inlineStr">
        <s:is>
          <s:t>2026-01-26T09:00:00+07:00</s:t>
        </s:is>
      </s:c>
      <s:c r="G37" s="2" t="n">
        <s:v>4</s:v>
      </s:c>
      <s:c r="H37" s="2" t="n">
        <s:v>5</s:v>
      </s:c>
      <s:c r="I37" s="2" t="n">
        <s:v>4</s:v>
      </s:c>
      <s:c r="J37" s="4" t="n">
        <s:v>0.5</s:v>
      </s:c>
      <s:c r="K37" s="4" t="n">
        <s:v>0.3</s:v>
      </s:c>
      <s:c r="L37" s="4" t="n">
        <s:v>0.2</s:v>
      </s:c>
      <s:c r="M37" s="4">
        <s:f>G37*J37+H37*K37+I37*L37</s:f>
        <s:v>4.3</s:v>
      </s:c>
      <s:c r="N37" s="3" t="inlineStr">
        <s:is>
          <s:t>MATCHED_SCRIPT_SIMULATED</s:t>
        </s:is>
      </s:c>
      <s:c r="O37" s="3" t="inlineStr">
        <s:is>
          <s:t>2026-01-01</s:t>
        </s:is>
      </s:c>
      <s:c r="P37" s="3" t="inlineStr">
        <s:is>
          <s:t>2026-01-31</s:t>
        </s:is>
      </s:c>
      <s:c r="Q37" s="3" t="inlineStr">
        <s:is>
          <s:t>2026-03-03T09:00:00+07:00</s:t>
        </s:is>
      </s:c>
    </s:row>
    <s:row r="38">
      <s:c r="A38" s="3" t="inlineStr">
        <s:is>
          <s:t>CMP-SUR-2-OWN-00</s:t>
        </s:is>
      </s:c>
      <s:c r="B38" s="3" t="inlineStr">
        <s:is>
          <s:t>OWN</s:t>
        </s:is>
      </s:c>
      <s:c r="C38" s="3" t="inlineStr">
        <s:is>
          <s:t>PROD-MILK</s:t>
        </s:is>
      </s:c>
      <s:c r="D38" s="3" t="inlineStr">
        <s:is>
          <s:t>AREA-A</s:t>
        </s:is>
      </s:c>
      <s:c r="E38" s="3" t="inlineStr">
        <s:is>
          <s:t>COMPARE-5-V1</s:t>
        </s:is>
      </s:c>
      <s:c r="F38" s="3" t="inlineStr">
        <s:is>
          <s:t>2026-02-15T09:00:00+07:00</s:t>
        </s:is>
      </s:c>
      <s:c r="G38" s="2" t="n">
        <s:v>3</s:v>
      </s:c>
      <s:c r="H38" s="2" t="n">
        <s:v>2</s:v>
      </s:c>
      <s:c r="I38" s="2" t="n">
        <s:v>3</s:v>
      </s:c>
      <s:c r="J38" s="4" t="n">
        <s:v>0.5</s:v>
      </s:c>
      <s:c r="K38" s="4" t="n">
        <s:v>0.3</s:v>
      </s:c>
      <s:c r="L38" s="4" t="n">
        <s:v>0.2</s:v>
      </s:c>
      <s:c r="M38" s="4">
        <s:f>G38*J38+H38*K38+I38*L38</s:f>
        <s:v>2.7</s:v>
      </s:c>
      <s:c r="N38" s="3" t="inlineStr">
        <s:is>
          <s:t>MATCHED_SCRIPT_SIMULATED</s:t>
        </s:is>
      </s:c>
      <s:c r="O38" s="3" t="inlineStr">
        <s:is>
          <s:t>2026-02-01</s:t>
        </s:is>
      </s:c>
      <s:c r="P38" s="3" t="inlineStr">
        <s:is>
          <s:t>2026-02-28</s:t>
        </s:is>
      </s:c>
      <s:c r="Q38" s="3" t="inlineStr">
        <s:is>
          <s:t>2026-03-03T09:00:00+07:00</s:t>
        </s:is>
      </s:c>
    </s:row>
    <s:row r="39">
      <s:c r="A39" s="3" t="inlineStr">
        <s:is>
          <s:t>CMP-SUR-2-OWN-01</s:t>
        </s:is>
      </s:c>
      <s:c r="B39" s="3" t="inlineStr">
        <s:is>
          <s:t>OWN</s:t>
        </s:is>
      </s:c>
      <s:c r="C39" s="3" t="inlineStr">
        <s:is>
          <s:t>PROD-MILK</s:t>
        </s:is>
      </s:c>
      <s:c r="D39" s="3" t="inlineStr">
        <s:is>
          <s:t>AREA-A</s:t>
        </s:is>
      </s:c>
      <s:c r="E39" s="3" t="inlineStr">
        <s:is>
          <s:t>COMPARE-5-V1</s:t>
        </s:is>
      </s:c>
      <s:c r="F39" s="3" t="inlineStr">
        <s:is>
          <s:t>2026-02-16T09:00:00+07:00</s:t>
        </s:is>
      </s:c>
      <s:c r="G39" s="2" t="n">
        <s:v>4</s:v>
      </s:c>
      <s:c r="H39" s="2" t="n">
        <s:v>3</s:v>
      </s:c>
      <s:c r="I39" s="2" t="n">
        <s:v>3</s:v>
      </s:c>
      <s:c r="J39" s="4" t="n">
        <s:v>0.5</s:v>
      </s:c>
      <s:c r="K39" s="4" t="n">
        <s:v>0.3</s:v>
      </s:c>
      <s:c r="L39" s="4" t="n">
        <s:v>0.2</s:v>
      </s:c>
      <s:c r="M39" s="4">
        <s:f>G39*J39+H39*K39+I39*L39</s:f>
        <s:v>3.5</s:v>
      </s:c>
      <s:c r="N39" s="3" t="inlineStr">
        <s:is>
          <s:t>MATCHED_SCRIPT_SIMULATED</s:t>
        </s:is>
      </s:c>
      <s:c r="O39" s="3" t="inlineStr">
        <s:is>
          <s:t>2026-02-01</s:t>
        </s:is>
      </s:c>
      <s:c r="P39" s="3" t="inlineStr">
        <s:is>
          <s:t>2026-02-28</s:t>
        </s:is>
      </s:c>
      <s:c r="Q39" s="3" t="inlineStr">
        <s:is>
          <s:t>2026-03-03T09:00:00+07:00</s:t>
        </s:is>
      </s:c>
    </s:row>
    <s:row r="40">
      <s:c r="A40" s="3" t="inlineStr">
        <s:is>
          <s:t>CMP-SUR-2-OWN-02</s:t>
        </s:is>
      </s:c>
      <s:c r="B40" s="3" t="inlineStr">
        <s:is>
          <s:t>OWN</s:t>
        </s:is>
      </s:c>
      <s:c r="C40" s="3" t="inlineStr">
        <s:is>
          <s:t>PROD-MILK</s:t>
        </s:is>
      </s:c>
      <s:c r="D40" s="3" t="inlineStr">
        <s:is>
          <s:t>AREA-A</s:t>
        </s:is>
      </s:c>
      <s:c r="E40" s="3" t="inlineStr">
        <s:is>
          <s:t>COMPARE-5-V1</s:t>
        </s:is>
      </s:c>
      <s:c r="F40" s="3" t="inlineStr">
        <s:is>
          <s:t>2026-02-17T09:00:00+07:00</s:t>
        </s:is>
      </s:c>
      <s:c r="G40" s="2" t="n">
        <s:v>4</s:v>
      </s:c>
      <s:c r="H40" s="2" t="n">
        <s:v>4</s:v>
      </s:c>
      <s:c r="I40" s="2" t="n">
        <s:v>4</s:v>
      </s:c>
      <s:c r="J40" s="4" t="n">
        <s:v>0.5</s:v>
      </s:c>
      <s:c r="K40" s="4" t="n">
        <s:v>0.3</s:v>
      </s:c>
      <s:c r="L40" s="4" t="n">
        <s:v>0.2</s:v>
      </s:c>
      <s:c r="M40" s="4">
        <s:f>G40*J40+H40*K40+I40*L40</s:f>
        <s:v>4.0</s:v>
      </s:c>
      <s:c r="N40" s="3" t="inlineStr">
        <s:is>
          <s:t>MATCHED_SCRIPT_SIMULATED</s:t>
        </s:is>
      </s:c>
      <s:c r="O40" s="3" t="inlineStr">
        <s:is>
          <s:t>2026-02-01</s:t>
        </s:is>
      </s:c>
      <s:c r="P40" s="3" t="inlineStr">
        <s:is>
          <s:t>2026-02-28</s:t>
        </s:is>
      </s:c>
      <s:c r="Q40" s="3" t="inlineStr">
        <s:is>
          <s:t>2026-03-03T09:00:00+07:00</s:t>
        </s:is>
      </s:c>
    </s:row>
    <s:row r="41">
      <s:c r="A41" s="3" t="inlineStr">
        <s:is>
          <s:t>CMP-SUR-2-OWN-03</s:t>
        </s:is>
      </s:c>
      <s:c r="B41" s="3" t="inlineStr">
        <s:is>
          <s:t>OWN</s:t>
        </s:is>
      </s:c>
      <s:c r="C41" s="3" t="inlineStr">
        <s:is>
          <s:t>PROD-MILK</s:t>
        </s:is>
      </s:c>
      <s:c r="D41" s="3" t="inlineStr">
        <s:is>
          <s:t>AREA-A</s:t>
        </s:is>
      </s:c>
      <s:c r="E41" s="3" t="inlineStr">
        <s:is>
          <s:t>COMPARE-5-V1</s:t>
        </s:is>
      </s:c>
      <s:c r="F41" s="3" t="inlineStr">
        <s:is>
          <s:t>2026-02-18T09:00:00+07:00</s:t>
        </s:is>
      </s:c>
      <s:c r="G41" s="2" t="n">
        <s:v>5</s:v>
      </s:c>
      <s:c r="H41" s="2" t="n">
        <s:v>4</s:v>
      </s:c>
      <s:c r="I41" s="2" t="n">
        <s:v>4</s:v>
      </s:c>
      <s:c r="J41" s="4" t="n">
        <s:v>0.5</s:v>
      </s:c>
      <s:c r="K41" s="4" t="n">
        <s:v>0.3</s:v>
      </s:c>
      <s:c r="L41" s="4" t="n">
        <s:v>0.2</s:v>
      </s:c>
      <s:c r="M41" s="4">
        <s:f>G41*J41+H41*K41+I41*L41</s:f>
        <s:v>4.5</s:v>
      </s:c>
      <s:c r="N41" s="3" t="inlineStr">
        <s:is>
          <s:t>MATCHED_SCRIPT_SIMULATED</s:t>
        </s:is>
      </s:c>
      <s:c r="O41" s="3" t="inlineStr">
        <s:is>
          <s:t>2026-02-01</s:t>
        </s:is>
      </s:c>
      <s:c r="P41" s="3" t="inlineStr">
        <s:is>
          <s:t>2026-02-28</s:t>
        </s:is>
      </s:c>
      <s:c r="Q41" s="3" t="inlineStr">
        <s:is>
          <s:t>2026-03-03T09:00:00+07:00</s:t>
        </s:is>
      </s:c>
    </s:row>
    <s:row r="42">
      <s:c r="A42" s="3" t="inlineStr">
        <s:is>
          <s:t>CMP-SUR-2-OWN-04</s:t>
        </s:is>
      </s:c>
      <s:c r="B42" s="3" t="inlineStr">
        <s:is>
          <s:t>OWN</s:t>
        </s:is>
      </s:c>
      <s:c r="C42" s="3" t="inlineStr">
        <s:is>
          <s:t>PROD-MILK</s:t>
        </s:is>
      </s:c>
      <s:c r="D42" s="3" t="inlineStr">
        <s:is>
          <s:t>AREA-A</s:t>
        </s:is>
      </s:c>
      <s:c r="E42" s="3" t="inlineStr">
        <s:is>
          <s:t>COMPARE-5-V1</s:t>
        </s:is>
      </s:c>
      <s:c r="F42" s="3" t="inlineStr">
        <s:is>
          <s:t>2026-02-19T09:00:00+07:00</s:t>
        </s:is>
      </s:c>
      <s:c r="G42" s="2" t="n">
        <s:v>3</s:v>
      </s:c>
      <s:c r="H42" s="2" t="n">
        <s:v>2</s:v>
      </s:c>
      <s:c r="I42" s="2" t="n">
        <s:v>3</s:v>
      </s:c>
      <s:c r="J42" s="4" t="n">
        <s:v>0.5</s:v>
      </s:c>
      <s:c r="K42" s="4" t="n">
        <s:v>0.3</s:v>
      </s:c>
      <s:c r="L42" s="4" t="n">
        <s:v>0.2</s:v>
      </s:c>
      <s:c r="M42" s="4">
        <s:f>G42*J42+H42*K42+I42*L42</s:f>
        <s:v>2.7</s:v>
      </s:c>
      <s:c r="N42" s="3" t="inlineStr">
        <s:is>
          <s:t>MATCHED_SCRIPT_SIMULATED</s:t>
        </s:is>
      </s:c>
      <s:c r="O42" s="3" t="inlineStr">
        <s:is>
          <s:t>2026-02-01</s:t>
        </s:is>
      </s:c>
      <s:c r="P42" s="3" t="inlineStr">
        <s:is>
          <s:t>2026-02-28</s:t>
        </s:is>
      </s:c>
      <s:c r="Q42" s="3" t="inlineStr">
        <s:is>
          <s:t>2026-03-03T09:00:00+07:00</s:t>
        </s:is>
      </s:c>
    </s:row>
    <s:row r="43">
      <s:c r="A43" s="3" t="inlineStr">
        <s:is>
          <s:t>CMP-SUR-2-OWN-05</s:t>
        </s:is>
      </s:c>
      <s:c r="B43" s="3" t="inlineStr">
        <s:is>
          <s:t>OWN</s:t>
        </s:is>
      </s:c>
      <s:c r="C43" s="3" t="inlineStr">
        <s:is>
          <s:t>PROD-MILK</s:t>
        </s:is>
      </s:c>
      <s:c r="D43" s="3" t="inlineStr">
        <s:is>
          <s:t>AREA-A</s:t>
        </s:is>
      </s:c>
      <s:c r="E43" s="3" t="inlineStr">
        <s:is>
          <s:t>COMPARE-5-V1</s:t>
        </s:is>
      </s:c>
      <s:c r="F43" s="3" t="inlineStr">
        <s:is>
          <s:t>2026-02-20T09:00:00+07:00</s:t>
        </s:is>
      </s:c>
      <s:c r="G43" s="2" t="n">
        <s:v>4</s:v>
      </s:c>
      <s:c r="H43" s="2" t="n">
        <s:v>3</s:v>
      </s:c>
      <s:c r="I43" s="2" t="n">
        <s:v>3</s:v>
      </s:c>
      <s:c r="J43" s="4" t="n">
        <s:v>0.5</s:v>
      </s:c>
      <s:c r="K43" s="4" t="n">
        <s:v>0.3</s:v>
      </s:c>
      <s:c r="L43" s="4" t="n">
        <s:v>0.2</s:v>
      </s:c>
      <s:c r="M43" s="4">
        <s:f>G43*J43+H43*K43+I43*L43</s:f>
        <s:v>3.5</s:v>
      </s:c>
      <s:c r="N43" s="3" t="inlineStr">
        <s:is>
          <s:t>MATCHED_SCRIPT_SIMULATED</s:t>
        </s:is>
      </s:c>
      <s:c r="O43" s="3" t="inlineStr">
        <s:is>
          <s:t>2026-02-01</s:t>
        </s:is>
      </s:c>
      <s:c r="P43" s="3" t="inlineStr">
        <s:is>
          <s:t>2026-02-28</s:t>
        </s:is>
      </s:c>
      <s:c r="Q43" s="3" t="inlineStr">
        <s:is>
          <s:t>2026-03-03T09:00:00+07:00</s:t>
        </s:is>
      </s:c>
    </s:row>
    <s:row r="44">
      <s:c r="A44" s="3" t="inlineStr">
        <s:is>
          <s:t>CMP-SUR-2-OWN-06</s:t>
        </s:is>
      </s:c>
      <s:c r="B44" s="3" t="inlineStr">
        <s:is>
          <s:t>OWN</s:t>
        </s:is>
      </s:c>
      <s:c r="C44" s="3" t="inlineStr">
        <s:is>
          <s:t>PROD-MILK</s:t>
        </s:is>
      </s:c>
      <s:c r="D44" s="3" t="inlineStr">
        <s:is>
          <s:t>AREA-A</s:t>
        </s:is>
      </s:c>
      <s:c r="E44" s="3" t="inlineStr">
        <s:is>
          <s:t>COMPARE-5-V1</s:t>
        </s:is>
      </s:c>
      <s:c r="F44" s="3" t="inlineStr">
        <s:is>
          <s:t>2026-02-21T09:00:00+07:00</s:t>
        </s:is>
      </s:c>
      <s:c r="G44" s="2" t="n">
        <s:v>4</s:v>
      </s:c>
      <s:c r="H44" s="2" t="n">
        <s:v>4</s:v>
      </s:c>
      <s:c r="I44" s="2" t="n">
        <s:v>4</s:v>
      </s:c>
      <s:c r="J44" s="4" t="n">
        <s:v>0.5</s:v>
      </s:c>
      <s:c r="K44" s="4" t="n">
        <s:v>0.3</s:v>
      </s:c>
      <s:c r="L44" s="4" t="n">
        <s:v>0.2</s:v>
      </s:c>
      <s:c r="M44" s="4">
        <s:f>G44*J44+H44*K44+I44*L44</s:f>
        <s:v>4.0</s:v>
      </s:c>
      <s:c r="N44" s="3" t="inlineStr">
        <s:is>
          <s:t>MATCHED_SCRIPT_SIMULATED</s:t>
        </s:is>
      </s:c>
      <s:c r="O44" s="3" t="inlineStr">
        <s:is>
          <s:t>2026-02-01</s:t>
        </s:is>
      </s:c>
      <s:c r="P44" s="3" t="inlineStr">
        <s:is>
          <s:t>2026-02-28</s:t>
        </s:is>
      </s:c>
      <s:c r="Q44" s="3" t="inlineStr">
        <s:is>
          <s:t>2026-03-03T09:00:00+07:00</s:t>
        </s:is>
      </s:c>
    </s:row>
    <s:row r="45">
      <s:c r="A45" s="3" t="inlineStr">
        <s:is>
          <s:t>CMP-SUR-2-OWN-07</s:t>
        </s:is>
      </s:c>
      <s:c r="B45" s="3" t="inlineStr">
        <s:is>
          <s:t>OWN</s:t>
        </s:is>
      </s:c>
      <s:c r="C45" s="3" t="inlineStr">
        <s:is>
          <s:t>PROD-MILK</s:t>
        </s:is>
      </s:c>
      <s:c r="D45" s="3" t="inlineStr">
        <s:is>
          <s:t>AREA-A</s:t>
        </s:is>
      </s:c>
      <s:c r="E45" s="3" t="inlineStr">
        <s:is>
          <s:t>COMPARE-5-V1</s:t>
        </s:is>
      </s:c>
      <s:c r="F45" s="3" t="inlineStr">
        <s:is>
          <s:t>2026-02-22T09:00:00+07:00</s:t>
        </s:is>
      </s:c>
      <s:c r="G45" s="2" t="n">
        <s:v>5</s:v>
      </s:c>
      <s:c r="H45" s="2" t="n">
        <s:v>4</s:v>
      </s:c>
      <s:c r="I45" s="2" t="n">
        <s:v>4</s:v>
      </s:c>
      <s:c r="J45" s="4" t="n">
        <s:v>0.5</s:v>
      </s:c>
      <s:c r="K45" s="4" t="n">
        <s:v>0.3</s:v>
      </s:c>
      <s:c r="L45" s="4" t="n">
        <s:v>0.2</s:v>
      </s:c>
      <s:c r="M45" s="4">
        <s:f>G45*J45+H45*K45+I45*L45</s:f>
        <s:v>4.5</s:v>
      </s:c>
      <s:c r="N45" s="3" t="inlineStr">
        <s:is>
          <s:t>MATCHED_SCRIPT_SIMULATED</s:t>
        </s:is>
      </s:c>
      <s:c r="O45" s="3" t="inlineStr">
        <s:is>
          <s:t>2026-02-01</s:t>
        </s:is>
      </s:c>
      <s:c r="P45" s="3" t="inlineStr">
        <s:is>
          <s:t>2026-02-28</s:t>
        </s:is>
      </s:c>
      <s:c r="Q45" s="3" t="inlineStr">
        <s:is>
          <s:t>2026-03-03T09:00:00+07:00</s:t>
        </s:is>
      </s:c>
    </s:row>
    <s:row r="46">
      <s:c r="A46" s="3" t="inlineStr">
        <s:is>
          <s:t>CMP-SUR-2-OWN-08</s:t>
        </s:is>
      </s:c>
      <s:c r="B46" s="3" t="inlineStr">
        <s:is>
          <s:t>OWN</s:t>
        </s:is>
      </s:c>
      <s:c r="C46" s="3" t="inlineStr">
        <s:is>
          <s:t>PROD-MILK</s:t>
        </s:is>
      </s:c>
      <s:c r="D46" s="3" t="inlineStr">
        <s:is>
          <s:t>AREA-A</s:t>
        </s:is>
      </s:c>
      <s:c r="E46" s="3" t="inlineStr">
        <s:is>
          <s:t>COMPARE-5-V1</s:t>
        </s:is>
      </s:c>
      <s:c r="F46" s="3" t="inlineStr">
        <s:is>
          <s:t>2026-02-23T09:00:00+07:00</s:t>
        </s:is>
      </s:c>
      <s:c r="G46" s="2" t="n">
        <s:v>3</s:v>
      </s:c>
      <s:c r="H46" s="2" t="n">
        <s:v>2</s:v>
      </s:c>
      <s:c r="I46" s="2" t="n">
        <s:v>3</s:v>
      </s:c>
      <s:c r="J46" s="4" t="n">
        <s:v>0.5</s:v>
      </s:c>
      <s:c r="K46" s="4" t="n">
        <s:v>0.3</s:v>
      </s:c>
      <s:c r="L46" s="4" t="n">
        <s:v>0.2</s:v>
      </s:c>
      <s:c r="M46" s="4">
        <s:f>G46*J46+H46*K46+I46*L46</s:f>
        <s:v>2.7</s:v>
      </s:c>
      <s:c r="N46" s="3" t="inlineStr">
        <s:is>
          <s:t>MATCHED_SCRIPT_SIMULATED</s:t>
        </s:is>
      </s:c>
      <s:c r="O46" s="3" t="inlineStr">
        <s:is>
          <s:t>2026-02-01</s:t>
        </s:is>
      </s:c>
      <s:c r="P46" s="3" t="inlineStr">
        <s:is>
          <s:t>2026-02-28</s:t>
        </s:is>
      </s:c>
      <s:c r="Q46" s="3" t="inlineStr">
        <s:is>
          <s:t>2026-03-03T09:00:00+07:00</s:t>
        </s:is>
      </s:c>
    </s:row>
    <s:row r="47">
      <s:c r="A47" s="3" t="inlineStr">
        <s:is>
          <s:t>CMP-SUR-2-OWN-09</s:t>
        </s:is>
      </s:c>
      <s:c r="B47" s="3" t="inlineStr">
        <s:is>
          <s:t>OWN</s:t>
        </s:is>
      </s:c>
      <s:c r="C47" s="3" t="inlineStr">
        <s:is>
          <s:t>PROD-MILK</s:t>
        </s:is>
      </s:c>
      <s:c r="D47" s="3" t="inlineStr">
        <s:is>
          <s:t>AREA-A</s:t>
        </s:is>
      </s:c>
      <s:c r="E47" s="3" t="inlineStr">
        <s:is>
          <s:t>COMPARE-5-V1</s:t>
        </s:is>
      </s:c>
      <s:c r="F47" s="3" t="inlineStr">
        <s:is>
          <s:t>2026-02-24T09:00:00+07:00</s:t>
        </s:is>
      </s:c>
      <s:c r="G47" s="2" t="n">
        <s:v>4</s:v>
      </s:c>
      <s:c r="H47" s="2" t="n">
        <s:v>3</s:v>
      </s:c>
      <s:c r="I47" s="2" t="n">
        <s:v>3</s:v>
      </s:c>
      <s:c r="J47" s="4" t="n">
        <s:v>0.5</s:v>
      </s:c>
      <s:c r="K47" s="4" t="n">
        <s:v>0.3</s:v>
      </s:c>
      <s:c r="L47" s="4" t="n">
        <s:v>0.2</s:v>
      </s:c>
      <s:c r="M47" s="4">
        <s:f>G47*J47+H47*K47+I47*L47</s:f>
        <s:v>3.5</s:v>
      </s:c>
      <s:c r="N47" s="3" t="inlineStr">
        <s:is>
          <s:t>MATCHED_SCRIPT_SIMULATED</s:t>
        </s:is>
      </s:c>
      <s:c r="O47" s="3" t="inlineStr">
        <s:is>
          <s:t>2026-02-01</s:t>
        </s:is>
      </s:c>
      <s:c r="P47" s="3" t="inlineStr">
        <s:is>
          <s:t>2026-02-28</s:t>
        </s:is>
      </s:c>
      <s:c r="Q47" s="3" t="inlineStr">
        <s:is>
          <s:t>2026-03-03T09:00:00+07:00</s:t>
        </s:is>
      </s:c>
    </s:row>
    <s:row r="48">
      <s:c r="A48" s="3" t="inlineStr">
        <s:is>
          <s:t>CMP-SUR-2-OWN-10</s:t>
        </s:is>
      </s:c>
      <s:c r="B48" s="3" t="inlineStr">
        <s:is>
          <s:t>OWN</s:t>
        </s:is>
      </s:c>
      <s:c r="C48" s="3" t="inlineStr">
        <s:is>
          <s:t>PROD-MILK</s:t>
        </s:is>
      </s:c>
      <s:c r="D48" s="3" t="inlineStr">
        <s:is>
          <s:t>AREA-A</s:t>
        </s:is>
      </s:c>
      <s:c r="E48" s="3" t="inlineStr">
        <s:is>
          <s:t>COMPARE-5-V1</s:t>
        </s:is>
      </s:c>
      <s:c r="F48" s="3" t="inlineStr">
        <s:is>
          <s:t>2026-02-25T09:00:00+07:00</s:t>
        </s:is>
      </s:c>
      <s:c r="G48" s="2" t="n">
        <s:v>4</s:v>
      </s:c>
      <s:c r="H48" s="2" t="n">
        <s:v>4</s:v>
      </s:c>
      <s:c r="I48" s="2" t="n">
        <s:v>4</s:v>
      </s:c>
      <s:c r="J48" s="4" t="n">
        <s:v>0.5</s:v>
      </s:c>
      <s:c r="K48" s="4" t="n">
        <s:v>0.3</s:v>
      </s:c>
      <s:c r="L48" s="4" t="n">
        <s:v>0.2</s:v>
      </s:c>
      <s:c r="M48" s="4">
        <s:f>G48*J48+H48*K48+I48*L48</s:f>
        <s:v>4.0</s:v>
      </s:c>
      <s:c r="N48" s="3" t="inlineStr">
        <s:is>
          <s:t>MATCHED_SCRIPT_SIMULATED</s:t>
        </s:is>
      </s:c>
      <s:c r="O48" s="3" t="inlineStr">
        <s:is>
          <s:t>2026-02-01</s:t>
        </s:is>
      </s:c>
      <s:c r="P48" s="3" t="inlineStr">
        <s:is>
          <s:t>2026-02-28</s:t>
        </s:is>
      </s:c>
      <s:c r="Q48" s="3" t="inlineStr">
        <s:is>
          <s:t>2026-03-03T09:00:00+07:00</s:t>
        </s:is>
      </s:c>
    </s:row>
    <s:row r="49">
      <s:c r="A49" s="3" t="inlineStr">
        <s:is>
          <s:t>CMP-SUR-2-OWN-11</s:t>
        </s:is>
      </s:c>
      <s:c r="B49" s="3" t="inlineStr">
        <s:is>
          <s:t>OWN</s:t>
        </s:is>
      </s:c>
      <s:c r="C49" s="3" t="inlineStr">
        <s:is>
          <s:t>PROD-MILK</s:t>
        </s:is>
      </s:c>
      <s:c r="D49" s="3" t="inlineStr">
        <s:is>
          <s:t>AREA-A</s:t>
        </s:is>
      </s:c>
      <s:c r="E49" s="3" t="inlineStr">
        <s:is>
          <s:t>COMPARE-5-V1</s:t>
        </s:is>
      </s:c>
      <s:c r="F49" s="3" t="inlineStr">
        <s:is>
          <s:t>2026-02-26T09:00:00+07:00</s:t>
        </s:is>
      </s:c>
      <s:c r="G49" s="2" t="n">
        <s:v>5</s:v>
      </s:c>
      <s:c r="H49" s="2" t="n">
        <s:v>4</s:v>
      </s:c>
      <s:c r="I49" s="2" t="n">
        <s:v>4</s:v>
      </s:c>
      <s:c r="J49" s="4" t="n">
        <s:v>0.5</s:v>
      </s:c>
      <s:c r="K49" s="4" t="n">
        <s:v>0.3</s:v>
      </s:c>
      <s:c r="L49" s="4" t="n">
        <s:v>0.2</s:v>
      </s:c>
      <s:c r="M49" s="4">
        <s:f>G49*J49+H49*K49+I49*L49</s:f>
        <s:v>4.5</s:v>
      </s:c>
      <s:c r="N49" s="3" t="inlineStr">
        <s:is>
          <s:t>MATCHED_SCRIPT_SIMULATED</s:t>
        </s:is>
      </s:c>
      <s:c r="O49" s="3" t="inlineStr">
        <s:is>
          <s:t>2026-02-01</s:t>
        </s:is>
      </s:c>
      <s:c r="P49" s="3" t="inlineStr">
        <s:is>
          <s:t>2026-02-28</s:t>
        </s:is>
      </s:c>
      <s:c r="Q49" s="3" t="inlineStr">
        <s:is>
          <s:t>2026-03-03T09:00:00+07:00</s:t>
        </s:is>
      </s:c>
    </s:row>
    <s:row r="50">
      <s:c r="A50" s="3" t="inlineStr">
        <s:is>
          <s:t>CMP-SUR-2-COMP-A-00</s:t>
        </s:is>
      </s:c>
      <s:c r="B50" s="3" t="inlineStr">
        <s:is>
          <s:t>COMP-A</s:t>
        </s:is>
      </s:c>
      <s:c r="C50" s="3" t="inlineStr">
        <s:is>
          <s:t>PROD-MILK</s:t>
        </s:is>
      </s:c>
      <s:c r="D50" s="3" t="inlineStr">
        <s:is>
          <s:t>AREA-A</s:t>
        </s:is>
      </s:c>
      <s:c r="E50" s="3" t="inlineStr">
        <s:is>
          <s:t>COMPARE-5-V1</s:t>
        </s:is>
      </s:c>
      <s:c r="F50" s="3" t="inlineStr">
        <s:is>
          <s:t>2026-02-15T09:00:00+07:00</s:t>
        </s:is>
      </s:c>
      <s:c r="G50" s="2" t="n">
        <s:v>4</s:v>
      </s:c>
      <s:c r="H50" s="2" t="n">
        <s:v>3</s:v>
      </s:c>
      <s:c r="I50" s="2" t="n">
        <s:v>3</s:v>
      </s:c>
      <s:c r="J50" s="4" t="n">
        <s:v>0.5</s:v>
      </s:c>
      <s:c r="K50" s="4" t="n">
        <s:v>0.3</s:v>
      </s:c>
      <s:c r="L50" s="4" t="n">
        <s:v>0.2</s:v>
      </s:c>
      <s:c r="M50" s="4">
        <s:f>G50*J50+H50*K50+I50*L50</s:f>
        <s:v>3.5</s:v>
      </s:c>
      <s:c r="N50" s="3" t="inlineStr">
        <s:is>
          <s:t>MATCHED_SCRIPT_SIMULATED</s:t>
        </s:is>
      </s:c>
      <s:c r="O50" s="3" t="inlineStr">
        <s:is>
          <s:t>2026-02-01</s:t>
        </s:is>
      </s:c>
      <s:c r="P50" s="3" t="inlineStr">
        <s:is>
          <s:t>2026-02-28</s:t>
        </s:is>
      </s:c>
      <s:c r="Q50" s="3" t="inlineStr">
        <s:is>
          <s:t>2026-03-03T09:00:00+07:00</s:t>
        </s:is>
      </s:c>
    </s:row>
    <s:row r="51">
      <s:c r="A51" s="3" t="inlineStr">
        <s:is>
          <s:t>CMP-SUR-2-COMP-A-01</s:t>
        </s:is>
      </s:c>
      <s:c r="B51" s="3" t="inlineStr">
        <s:is>
          <s:t>COMP-A</s:t>
        </s:is>
      </s:c>
      <s:c r="C51" s="3" t="inlineStr">
        <s:is>
          <s:t>PROD-MILK</s:t>
        </s:is>
      </s:c>
      <s:c r="D51" s="3" t="inlineStr">
        <s:is>
          <s:t>AREA-A</s:t>
        </s:is>
      </s:c>
      <s:c r="E51" s="3" t="inlineStr">
        <s:is>
          <s:t>COMPARE-5-V1</s:t>
        </s:is>
      </s:c>
      <s:c r="F51" s="3" t="inlineStr">
        <s:is>
          <s:t>2026-02-16T09:00:00+07:00</s:t>
        </s:is>
      </s:c>
      <s:c r="G51" s="2" t="n">
        <s:v>4</s:v>
      </s:c>
      <s:c r="H51" s="2" t="n">
        <s:v>4</s:v>
      </s:c>
      <s:c r="I51" s="2" t="n">
        <s:v>3</s:v>
      </s:c>
      <s:c r="J51" s="4" t="n">
        <s:v>0.5</s:v>
      </s:c>
      <s:c r="K51" s="4" t="n">
        <s:v>0.3</s:v>
      </s:c>
      <s:c r="L51" s="4" t="n">
        <s:v>0.2</s:v>
      </s:c>
      <s:c r="M51" s="4">
        <s:f>G51*J51+H51*K51+I51*L51</s:f>
        <s:v>3.8</s:v>
      </s:c>
      <s:c r="N51" s="3" t="inlineStr">
        <s:is>
          <s:t>MATCHED_SCRIPT_SIMULATED</s:t>
        </s:is>
      </s:c>
      <s:c r="O51" s="3" t="inlineStr">
        <s:is>
          <s:t>2026-02-01</s:t>
        </s:is>
      </s:c>
      <s:c r="P51" s="3" t="inlineStr">
        <s:is>
          <s:t>2026-02-28</s:t>
        </s:is>
      </s:c>
      <s:c r="Q51" s="3" t="inlineStr">
        <s:is>
          <s:t>2026-03-03T09:00:00+07:00</s:t>
        </s:is>
      </s:c>
    </s:row>
    <s:row r="52">
      <s:c r="A52" s="3" t="inlineStr">
        <s:is>
          <s:t>CMP-SUR-2-COMP-A-02</s:t>
        </s:is>
      </s:c>
      <s:c r="B52" s="3" t="inlineStr">
        <s:is>
          <s:t>COMP-A</s:t>
        </s:is>
      </s:c>
      <s:c r="C52" s="3" t="inlineStr">
        <s:is>
          <s:t>PROD-MILK</s:t>
        </s:is>
      </s:c>
      <s:c r="D52" s="3" t="inlineStr">
        <s:is>
          <s:t>AREA-A</s:t>
        </s:is>
      </s:c>
      <s:c r="E52" s="3" t="inlineStr">
        <s:is>
          <s:t>COMPARE-5-V1</s:t>
        </s:is>
      </s:c>
      <s:c r="F52" s="3" t="inlineStr">
        <s:is>
          <s:t>2026-02-17T09:00:00+07:00</s:t>
        </s:is>
      </s:c>
      <s:c r="G52" s="2" t="n">
        <s:v>5</s:v>
      </s:c>
      <s:c r="H52" s="2" t="n">
        <s:v>4</s:v>
      </s:c>
      <s:c r="I52" s="2" t="n">
        <s:v>4</s:v>
      </s:c>
      <s:c r="J52" s="4" t="n">
        <s:v>0.5</s:v>
      </s:c>
      <s:c r="K52" s="4" t="n">
        <s:v>0.3</s:v>
      </s:c>
      <s:c r="L52" s="4" t="n">
        <s:v>0.2</s:v>
      </s:c>
      <s:c r="M52" s="4">
        <s:f>G52*J52+H52*K52+I52*L52</s:f>
        <s:v>4.5</s:v>
      </s:c>
      <s:c r="N52" s="3" t="inlineStr">
        <s:is>
          <s:t>MATCHED_SCRIPT_SIMULATED</s:t>
        </s:is>
      </s:c>
      <s:c r="O52" s="3" t="inlineStr">
        <s:is>
          <s:t>2026-02-01</s:t>
        </s:is>
      </s:c>
      <s:c r="P52" s="3" t="inlineStr">
        <s:is>
          <s:t>2026-02-28</s:t>
        </s:is>
      </s:c>
      <s:c r="Q52" s="3" t="inlineStr">
        <s:is>
          <s:t>2026-03-03T09:00:00+07:00</s:t>
        </s:is>
      </s:c>
    </s:row>
    <s:row r="53">
      <s:c r="A53" s="3" t="inlineStr">
        <s:is>
          <s:t>CMP-SUR-2-COMP-A-03</s:t>
        </s:is>
      </s:c>
      <s:c r="B53" s="3" t="inlineStr">
        <s:is>
          <s:t>COMP-A</s:t>
        </s:is>
      </s:c>
      <s:c r="C53" s="3" t="inlineStr">
        <s:is>
          <s:t>PROD-MILK</s:t>
        </s:is>
      </s:c>
      <s:c r="D53" s="3" t="inlineStr">
        <s:is>
          <s:t>AREA-A</s:t>
        </s:is>
      </s:c>
      <s:c r="E53" s="3" t="inlineStr">
        <s:is>
          <s:t>COMPARE-5-V1</s:t>
        </s:is>
      </s:c>
      <s:c r="F53" s="3" t="inlineStr">
        <s:is>
          <s:t>2026-02-18T09:00:00+07:00</s:t>
        </s:is>
      </s:c>
      <s:c r="G53" s="2" t="n">
        <s:v>3</s:v>
      </s:c>
      <s:c r="H53" s="2" t="n">
        <s:v>5</s:v>
      </s:c>
      <s:c r="I53" s="2" t="n">
        <s:v>4</s:v>
      </s:c>
      <s:c r="J53" s="4" t="n">
        <s:v>0.5</s:v>
      </s:c>
      <s:c r="K53" s="4" t="n">
        <s:v>0.3</s:v>
      </s:c>
      <s:c r="L53" s="4" t="n">
        <s:v>0.2</s:v>
      </s:c>
      <s:c r="M53" s="4">
        <s:f>G53*J53+H53*K53+I53*L53</s:f>
        <s:v>3.8</s:v>
      </s:c>
      <s:c r="N53" s="3" t="inlineStr">
        <s:is>
          <s:t>MATCHED_SCRIPT_SIMULATED</s:t>
        </s:is>
      </s:c>
      <s:c r="O53" s="3" t="inlineStr">
        <s:is>
          <s:t>2026-02-01</s:t>
        </s:is>
      </s:c>
      <s:c r="P53" s="3" t="inlineStr">
        <s:is>
          <s:t>2026-02-28</s:t>
        </s:is>
      </s:c>
      <s:c r="Q53" s="3" t="inlineStr">
        <s:is>
          <s:t>2026-03-03T09:00:00+07:00</s:t>
        </s:is>
      </s:c>
    </s:row>
    <s:row r="54">
      <s:c r="A54" s="3" t="inlineStr">
        <s:is>
          <s:t>CMP-SUR-2-COMP-A-04</s:t>
        </s:is>
      </s:c>
      <s:c r="B54" s="3" t="inlineStr">
        <s:is>
          <s:t>COMP-A</s:t>
        </s:is>
      </s:c>
      <s:c r="C54" s="3" t="inlineStr">
        <s:is>
          <s:t>PROD-MILK</s:t>
        </s:is>
      </s:c>
      <s:c r="D54" s="3" t="inlineStr">
        <s:is>
          <s:t>AREA-A</s:t>
        </s:is>
      </s:c>
      <s:c r="E54" s="3" t="inlineStr">
        <s:is>
          <s:t>COMPARE-5-V1</s:t>
        </s:is>
      </s:c>
      <s:c r="F54" s="3" t="inlineStr">
        <s:is>
          <s:t>2026-02-19T09:00:00+07:00</s:t>
        </s:is>
      </s:c>
      <s:c r="G54" s="2" t="n">
        <s:v>4</s:v>
      </s:c>
      <s:c r="H54" s="2" t="n">
        <s:v>3</s:v>
      </s:c>
      <s:c r="I54" s="2" t="n">
        <s:v>3</s:v>
      </s:c>
      <s:c r="J54" s="4" t="n">
        <s:v>0.5</s:v>
      </s:c>
      <s:c r="K54" s="4" t="n">
        <s:v>0.3</s:v>
      </s:c>
      <s:c r="L54" s="4" t="n">
        <s:v>0.2</s:v>
      </s:c>
      <s:c r="M54" s="4">
        <s:f>G54*J54+H54*K54+I54*L54</s:f>
        <s:v>3.5</s:v>
      </s:c>
      <s:c r="N54" s="3" t="inlineStr">
        <s:is>
          <s:t>MATCHED_SCRIPT_SIMULATED</s:t>
        </s:is>
      </s:c>
      <s:c r="O54" s="3" t="inlineStr">
        <s:is>
          <s:t>2026-02-01</s:t>
        </s:is>
      </s:c>
      <s:c r="P54" s="3" t="inlineStr">
        <s:is>
          <s:t>2026-02-28</s:t>
        </s:is>
      </s:c>
      <s:c r="Q54" s="3" t="inlineStr">
        <s:is>
          <s:t>2026-03-03T09:00:00+07:00</s:t>
        </s:is>
      </s:c>
    </s:row>
    <s:row r="55">
      <s:c r="A55" s="3" t="inlineStr">
        <s:is>
          <s:t>CMP-SUR-2-COMP-A-05</s:t>
        </s:is>
      </s:c>
      <s:c r="B55" s="3" t="inlineStr">
        <s:is>
          <s:t>COMP-A</s:t>
        </s:is>
      </s:c>
      <s:c r="C55" s="3" t="inlineStr">
        <s:is>
          <s:t>PROD-MILK</s:t>
        </s:is>
      </s:c>
      <s:c r="D55" s="3" t="inlineStr">
        <s:is>
          <s:t>AREA-A</s:t>
        </s:is>
      </s:c>
      <s:c r="E55" s="3" t="inlineStr">
        <s:is>
          <s:t>COMPARE-5-V1</s:t>
        </s:is>
      </s:c>
      <s:c r="F55" s="3" t="inlineStr">
        <s:is>
          <s:t>2026-02-20T09:00:00+07:00</s:t>
        </s:is>
      </s:c>
      <s:c r="G55" s="2" t="n">
        <s:v>4</s:v>
      </s:c>
      <s:c r="H55" s="2" t="n">
        <s:v>4</s:v>
      </s:c>
      <s:c r="I55" s="2" t="n">
        <s:v>3</s:v>
      </s:c>
      <s:c r="J55" s="4" t="n">
        <s:v>0.5</s:v>
      </s:c>
      <s:c r="K55" s="4" t="n">
        <s:v>0.3</s:v>
      </s:c>
      <s:c r="L55" s="4" t="n">
        <s:v>0.2</s:v>
      </s:c>
      <s:c r="M55" s="4">
        <s:f>G55*J55+H55*K55+I55*L55</s:f>
        <s:v>3.8</s:v>
      </s:c>
      <s:c r="N55" s="3" t="inlineStr">
        <s:is>
          <s:t>MATCHED_SCRIPT_SIMULATED</s:t>
        </s:is>
      </s:c>
      <s:c r="O55" s="3" t="inlineStr">
        <s:is>
          <s:t>2026-02-01</s:t>
        </s:is>
      </s:c>
      <s:c r="P55" s="3" t="inlineStr">
        <s:is>
          <s:t>2026-02-28</s:t>
        </s:is>
      </s:c>
      <s:c r="Q55" s="3" t="inlineStr">
        <s:is>
          <s:t>2026-03-03T09:00:00+07:00</s:t>
        </s:is>
      </s:c>
    </s:row>
    <s:row r="56">
      <s:c r="A56" s="3" t="inlineStr">
        <s:is>
          <s:t>CMP-SUR-2-COMP-A-06</s:t>
        </s:is>
      </s:c>
      <s:c r="B56" s="3" t="inlineStr">
        <s:is>
          <s:t>COMP-A</s:t>
        </s:is>
      </s:c>
      <s:c r="C56" s="3" t="inlineStr">
        <s:is>
          <s:t>PROD-MILK</s:t>
        </s:is>
      </s:c>
      <s:c r="D56" s="3" t="inlineStr">
        <s:is>
          <s:t>AREA-A</s:t>
        </s:is>
      </s:c>
      <s:c r="E56" s="3" t="inlineStr">
        <s:is>
          <s:t>COMPARE-5-V1</s:t>
        </s:is>
      </s:c>
      <s:c r="F56" s="3" t="inlineStr">
        <s:is>
          <s:t>2026-02-21T09:00:00+07:00</s:t>
        </s:is>
      </s:c>
      <s:c r="G56" s="2" t="n">
        <s:v>5</s:v>
      </s:c>
      <s:c r="H56" s="2" t="n">
        <s:v>4</s:v>
      </s:c>
      <s:c r="I56" s="2" t="n">
        <s:v>4</s:v>
      </s:c>
      <s:c r="J56" s="4" t="n">
        <s:v>0.5</s:v>
      </s:c>
      <s:c r="K56" s="4" t="n">
        <s:v>0.3</s:v>
      </s:c>
      <s:c r="L56" s="4" t="n">
        <s:v>0.2</s:v>
      </s:c>
      <s:c r="M56" s="4">
        <s:f>G56*J56+H56*K56+I56*L56</s:f>
        <s:v>4.5</s:v>
      </s:c>
      <s:c r="N56" s="3" t="inlineStr">
        <s:is>
          <s:t>MATCHED_SCRIPT_SIMULATED</s:t>
        </s:is>
      </s:c>
      <s:c r="O56" s="3" t="inlineStr">
        <s:is>
          <s:t>2026-02-01</s:t>
        </s:is>
      </s:c>
      <s:c r="P56" s="3" t="inlineStr">
        <s:is>
          <s:t>2026-02-28</s:t>
        </s:is>
      </s:c>
      <s:c r="Q56" s="3" t="inlineStr">
        <s:is>
          <s:t>2026-03-03T09:00:00+07:00</s:t>
        </s:is>
      </s:c>
    </s:row>
    <s:row r="57">
      <s:c r="A57" s="3" t="inlineStr">
        <s:is>
          <s:t>CMP-SUR-2-COMP-A-07</s:t>
        </s:is>
      </s:c>
      <s:c r="B57" s="3" t="inlineStr">
        <s:is>
          <s:t>COMP-A</s:t>
        </s:is>
      </s:c>
      <s:c r="C57" s="3" t="inlineStr">
        <s:is>
          <s:t>PROD-MILK</s:t>
        </s:is>
      </s:c>
      <s:c r="D57" s="3" t="inlineStr">
        <s:is>
          <s:t>AREA-A</s:t>
        </s:is>
      </s:c>
      <s:c r="E57" s="3" t="inlineStr">
        <s:is>
          <s:t>COMPARE-5-V1</s:t>
        </s:is>
      </s:c>
      <s:c r="F57" s="3" t="inlineStr">
        <s:is>
          <s:t>2026-02-22T09:00:00+07:00</s:t>
        </s:is>
      </s:c>
      <s:c r="G57" s="2" t="n">
        <s:v>3</s:v>
      </s:c>
      <s:c r="H57" s="2" t="n">
        <s:v>5</s:v>
      </s:c>
      <s:c r="I57" s="2" t="n">
        <s:v>4</s:v>
      </s:c>
      <s:c r="J57" s="4" t="n">
        <s:v>0.5</s:v>
      </s:c>
      <s:c r="K57" s="4" t="n">
        <s:v>0.3</s:v>
      </s:c>
      <s:c r="L57" s="4" t="n">
        <s:v>0.2</s:v>
      </s:c>
      <s:c r="M57" s="4">
        <s:f>G57*J57+H57*K57+I57*L57</s:f>
        <s:v>3.8</s:v>
      </s:c>
      <s:c r="N57" s="3" t="inlineStr">
        <s:is>
          <s:t>MATCHED_SCRIPT_SIMULATED</s:t>
        </s:is>
      </s:c>
      <s:c r="O57" s="3" t="inlineStr">
        <s:is>
          <s:t>2026-02-01</s:t>
        </s:is>
      </s:c>
      <s:c r="P57" s="3" t="inlineStr">
        <s:is>
          <s:t>2026-02-28</s:t>
        </s:is>
      </s:c>
      <s:c r="Q57" s="3" t="inlineStr">
        <s:is>
          <s:t>2026-03-03T09:00:00+07:00</s:t>
        </s:is>
      </s:c>
    </s:row>
    <s:row r="58">
      <s:c r="A58" s="3" t="inlineStr">
        <s:is>
          <s:t>CMP-SUR-2-COMP-A-08</s:t>
        </s:is>
      </s:c>
      <s:c r="B58" s="3" t="inlineStr">
        <s:is>
          <s:t>COMP-A</s:t>
        </s:is>
      </s:c>
      <s:c r="C58" s="3" t="inlineStr">
        <s:is>
          <s:t>PROD-MILK</s:t>
        </s:is>
      </s:c>
      <s:c r="D58" s="3" t="inlineStr">
        <s:is>
          <s:t>AREA-A</s:t>
        </s:is>
      </s:c>
      <s:c r="E58" s="3" t="inlineStr">
        <s:is>
          <s:t>COMPARE-5-V1</s:t>
        </s:is>
      </s:c>
      <s:c r="F58" s="3" t="inlineStr">
        <s:is>
          <s:t>2026-02-23T09:00:00+07:00</s:t>
        </s:is>
      </s:c>
      <s:c r="G58" s="2" t="n">
        <s:v>4</s:v>
      </s:c>
      <s:c r="H58" s="2" t="n">
        <s:v>3</s:v>
      </s:c>
      <s:c r="I58" s="2" t="n">
        <s:v>3</s:v>
      </s:c>
      <s:c r="J58" s="4" t="n">
        <s:v>0.5</s:v>
      </s:c>
      <s:c r="K58" s="4" t="n">
        <s:v>0.3</s:v>
      </s:c>
      <s:c r="L58" s="4" t="n">
        <s:v>0.2</s:v>
      </s:c>
      <s:c r="M58" s="4">
        <s:f>G58*J58+H58*K58+I58*L58</s:f>
        <s:v>3.5</s:v>
      </s:c>
      <s:c r="N58" s="3" t="inlineStr">
        <s:is>
          <s:t>MATCHED_SCRIPT_SIMULATED</s:t>
        </s:is>
      </s:c>
      <s:c r="O58" s="3" t="inlineStr">
        <s:is>
          <s:t>2026-02-01</s:t>
        </s:is>
      </s:c>
      <s:c r="P58" s="3" t="inlineStr">
        <s:is>
          <s:t>2026-02-28</s:t>
        </s:is>
      </s:c>
      <s:c r="Q58" s="3" t="inlineStr">
        <s:is>
          <s:t>2026-03-03T09:00:00+07:00</s:t>
        </s:is>
      </s:c>
    </s:row>
    <s:row r="59">
      <s:c r="A59" s="3" t="inlineStr">
        <s:is>
          <s:t>CMP-SUR-2-COMP-A-09</s:t>
        </s:is>
      </s:c>
      <s:c r="B59" s="3" t="inlineStr">
        <s:is>
          <s:t>COMP-A</s:t>
        </s:is>
      </s:c>
      <s:c r="C59" s="3" t="inlineStr">
        <s:is>
          <s:t>PROD-MILK</s:t>
        </s:is>
      </s:c>
      <s:c r="D59" s="3" t="inlineStr">
        <s:is>
          <s:t>AREA-A</s:t>
        </s:is>
      </s:c>
      <s:c r="E59" s="3" t="inlineStr">
        <s:is>
          <s:t>COMPARE-5-V1</s:t>
        </s:is>
      </s:c>
      <s:c r="F59" s="3" t="inlineStr">
        <s:is>
          <s:t>2026-02-24T09:00:00+07:00</s:t>
        </s:is>
      </s:c>
      <s:c r="G59" s="2" t="n">
        <s:v>4</s:v>
      </s:c>
      <s:c r="H59" s="2" t="n">
        <s:v>4</s:v>
      </s:c>
      <s:c r="I59" s="2" t="n">
        <s:v>3</s:v>
      </s:c>
      <s:c r="J59" s="4" t="n">
        <s:v>0.5</s:v>
      </s:c>
      <s:c r="K59" s="4" t="n">
        <s:v>0.3</s:v>
      </s:c>
      <s:c r="L59" s="4" t="n">
        <s:v>0.2</s:v>
      </s:c>
      <s:c r="M59" s="4">
        <s:f>G59*J59+H59*K59+I59*L59</s:f>
        <s:v>3.8</s:v>
      </s:c>
      <s:c r="N59" s="3" t="inlineStr">
        <s:is>
          <s:t>MATCHED_SCRIPT_SIMULATED</s:t>
        </s:is>
      </s:c>
      <s:c r="O59" s="3" t="inlineStr">
        <s:is>
          <s:t>2026-02-01</s:t>
        </s:is>
      </s:c>
      <s:c r="P59" s="3" t="inlineStr">
        <s:is>
          <s:t>2026-02-28</s:t>
        </s:is>
      </s:c>
      <s:c r="Q59" s="3" t="inlineStr">
        <s:is>
          <s:t>2026-03-03T09:00:00+07:00</s:t>
        </s:is>
      </s:c>
    </s:row>
    <s:row r="60">
      <s:c r="A60" s="3" t="inlineStr">
        <s:is>
          <s:t>CMP-SUR-2-COMP-A-10</s:t>
        </s:is>
      </s:c>
      <s:c r="B60" s="3" t="inlineStr">
        <s:is>
          <s:t>COMP-A</s:t>
        </s:is>
      </s:c>
      <s:c r="C60" s="3" t="inlineStr">
        <s:is>
          <s:t>PROD-MILK</s:t>
        </s:is>
      </s:c>
      <s:c r="D60" s="3" t="inlineStr">
        <s:is>
          <s:t>AREA-A</s:t>
        </s:is>
      </s:c>
      <s:c r="E60" s="3" t="inlineStr">
        <s:is>
          <s:t>COMPARE-5-V1</s:t>
        </s:is>
      </s:c>
      <s:c r="F60" s="3" t="inlineStr">
        <s:is>
          <s:t>2026-02-25T09:00:00+07:00</s:t>
        </s:is>
      </s:c>
      <s:c r="G60" s="2" t="n">
        <s:v>5</s:v>
      </s:c>
      <s:c r="H60" s="2" t="n">
        <s:v>4</s:v>
      </s:c>
      <s:c r="I60" s="2" t="n">
        <s:v>4</s:v>
      </s:c>
      <s:c r="J60" s="4" t="n">
        <s:v>0.5</s:v>
      </s:c>
      <s:c r="K60" s="4" t="n">
        <s:v>0.3</s:v>
      </s:c>
      <s:c r="L60" s="4" t="n">
        <s:v>0.2</s:v>
      </s:c>
      <s:c r="M60" s="4">
        <s:f>G60*J60+H60*K60+I60*L60</s:f>
        <s:v>4.5</s:v>
      </s:c>
      <s:c r="N60" s="3" t="inlineStr">
        <s:is>
          <s:t>MATCHED_SCRIPT_SIMULATED</s:t>
        </s:is>
      </s:c>
      <s:c r="O60" s="3" t="inlineStr">
        <s:is>
          <s:t>2026-02-01</s:t>
        </s:is>
      </s:c>
      <s:c r="P60" s="3" t="inlineStr">
        <s:is>
          <s:t>2026-02-28</s:t>
        </s:is>
      </s:c>
      <s:c r="Q60" s="3" t="inlineStr">
        <s:is>
          <s:t>2026-03-03T09:00:00+07:00</s:t>
        </s:is>
      </s:c>
    </s:row>
    <s:row r="61">
      <s:c r="A61" s="3" t="inlineStr">
        <s:is>
          <s:t>CMP-SUR-2-COMP-A-11</s:t>
        </s:is>
      </s:c>
      <s:c r="B61" s="3" t="inlineStr">
        <s:is>
          <s:t>COMP-A</s:t>
        </s:is>
      </s:c>
      <s:c r="C61" s="3" t="inlineStr">
        <s:is>
          <s:t>PROD-MILK</s:t>
        </s:is>
      </s:c>
      <s:c r="D61" s="3" t="inlineStr">
        <s:is>
          <s:t>AREA-A</s:t>
        </s:is>
      </s:c>
      <s:c r="E61" s="3" t="inlineStr">
        <s:is>
          <s:t>COMPARE-5-V1</s:t>
        </s:is>
      </s:c>
      <s:c r="F61" s="3" t="inlineStr">
        <s:is>
          <s:t>2026-02-26T09:00:00+07:00</s:t>
        </s:is>
      </s:c>
      <s:c r="G61" s="2" t="n">
        <s:v>3</s:v>
      </s:c>
      <s:c r="H61" s="2" t="n">
        <s:v>5</s:v>
      </s:c>
      <s:c r="I61" s="2" t="n">
        <s:v>4</s:v>
      </s:c>
      <s:c r="J61" s="4" t="n">
        <s:v>0.5</s:v>
      </s:c>
      <s:c r="K61" s="4" t="n">
        <s:v>0.3</s:v>
      </s:c>
      <s:c r="L61" s="4" t="n">
        <s:v>0.2</s:v>
      </s:c>
      <s:c r="M61" s="4">
        <s:f>G61*J61+H61*K61+I61*L61</s:f>
        <s:v>3.8</s:v>
      </s:c>
      <s:c r="N61" s="3" t="inlineStr">
        <s:is>
          <s:t>MATCHED_SCRIPT_SIMULATED</s:t>
        </s:is>
      </s:c>
      <s:c r="O61" s="3" t="inlineStr">
        <s:is>
          <s:t>2026-02-01</s:t>
        </s:is>
      </s:c>
      <s:c r="P61" s="3" t="inlineStr">
        <s:is>
          <s:t>2026-02-28</s:t>
        </s:is>
      </s:c>
      <s:c r="Q61" s="3" t="inlineStr">
        <s:is>
          <s:t>2026-03-03T09:00:00+07:00</s:t>
        </s:is>
      </s:c>
    </s:row>
    <s:row r="62">
      <s:c r="A62" s="3" t="inlineStr">
        <s:is>
          <s:t>CMP-SUR-2-COMP-B-00</s:t>
        </s:is>
      </s:c>
      <s:c r="B62" s="3" t="inlineStr">
        <s:is>
          <s:t>COMP-B</s:t>
        </s:is>
      </s:c>
      <s:c r="C62" s="3" t="inlineStr">
        <s:is>
          <s:t>PROD-MILK</s:t>
        </s:is>
      </s:c>
      <s:c r="D62" s="3" t="inlineStr">
        <s:is>
          <s:t>AREA-A</s:t>
        </s:is>
      </s:c>
      <s:c r="E62" s="3" t="inlineStr">
        <s:is>
          <s:t>COMPARE-5-V1</s:t>
        </s:is>
      </s:c>
      <s:c r="F62" s="3" t="inlineStr">
        <s:is>
          <s:t>2026-02-15T09:00:00+07:00</s:t>
        </s:is>
      </s:c>
      <s:c r="G62" s="2" t="n">
        <s:v>4</s:v>
      </s:c>
      <s:c r="H62" s="2" t="n">
        <s:v>3</s:v>
      </s:c>
      <s:c r="I62" s="2" t="n">
        <s:v>3</s:v>
      </s:c>
      <s:c r="J62" s="4" t="n">
        <s:v>0.5</s:v>
      </s:c>
      <s:c r="K62" s="4" t="n">
        <s:v>0.3</s:v>
      </s:c>
      <s:c r="L62" s="4" t="n">
        <s:v>0.2</s:v>
      </s:c>
      <s:c r="M62" s="4">
        <s:f>G62*J62+H62*K62+I62*L62</s:f>
        <s:v>3.5</s:v>
      </s:c>
      <s:c r="N62" s="3" t="inlineStr">
        <s:is>
          <s:t>MATCHED_SCRIPT_SIMULATED</s:t>
        </s:is>
      </s:c>
      <s:c r="O62" s="3" t="inlineStr">
        <s:is>
          <s:t>2026-02-01</s:t>
        </s:is>
      </s:c>
      <s:c r="P62" s="3" t="inlineStr">
        <s:is>
          <s:t>2026-02-28</s:t>
        </s:is>
      </s:c>
      <s:c r="Q62" s="3" t="inlineStr">
        <s:is>
          <s:t>2026-03-03T09:00:00+07:00</s:t>
        </s:is>
      </s:c>
    </s:row>
    <s:row r="63">
      <s:c r="A63" s="3" t="inlineStr">
        <s:is>
          <s:t>CMP-SUR-2-COMP-B-01</s:t>
        </s:is>
      </s:c>
      <s:c r="B63" s="3" t="inlineStr">
        <s:is>
          <s:t>COMP-B</s:t>
        </s:is>
      </s:c>
      <s:c r="C63" s="3" t="inlineStr">
        <s:is>
          <s:t>PROD-MILK</s:t>
        </s:is>
      </s:c>
      <s:c r="D63" s="3" t="inlineStr">
        <s:is>
          <s:t>AREA-A</s:t>
        </s:is>
      </s:c>
      <s:c r="E63" s="3" t="inlineStr">
        <s:is>
          <s:t>COMPARE-5-V1</s:t>
        </s:is>
      </s:c>
      <s:c r="F63" s="3" t="inlineStr">
        <s:is>
          <s:t>2026-02-16T09:00:00+07:00</s:t>
        </s:is>
      </s:c>
      <s:c r="G63" s="2" t="n">
        <s:v>5</s:v>
      </s:c>
      <s:c r="H63" s="2" t="n">
        <s:v>4</s:v>
      </s:c>
      <s:c r="I63" s="2" t="n">
        <s:v>3</s:v>
      </s:c>
      <s:c r="J63" s="4" t="n">
        <s:v>0.5</s:v>
      </s:c>
      <s:c r="K63" s="4" t="n">
        <s:v>0.3</s:v>
      </s:c>
      <s:c r="L63" s="4" t="n">
        <s:v>0.2</s:v>
      </s:c>
      <s:c r="M63" s="4">
        <s:f>G63*J63+H63*K63+I63*L63</s:f>
        <s:v>4.3</s:v>
      </s:c>
      <s:c r="N63" s="3" t="inlineStr">
        <s:is>
          <s:t>MATCHED_SCRIPT_SIMULATED</s:t>
        </s:is>
      </s:c>
      <s:c r="O63" s="3" t="inlineStr">
        <s:is>
          <s:t>2026-02-01</s:t>
        </s:is>
      </s:c>
      <s:c r="P63" s="3" t="inlineStr">
        <s:is>
          <s:t>2026-02-28</s:t>
        </s:is>
      </s:c>
      <s:c r="Q63" s="3" t="inlineStr">
        <s:is>
          <s:t>2026-03-03T09:00:00+07:00</s:t>
        </s:is>
      </s:c>
    </s:row>
    <s:row r="64">
      <s:c r="A64" s="3" t="inlineStr">
        <s:is>
          <s:t>CMP-SUR-2-COMP-B-02</s:t>
        </s:is>
      </s:c>
      <s:c r="B64" s="3" t="inlineStr">
        <s:is>
          <s:t>COMP-B</s:t>
        </s:is>
      </s:c>
      <s:c r="C64" s="3" t="inlineStr">
        <s:is>
          <s:t>PROD-MILK</s:t>
        </s:is>
      </s:c>
      <s:c r="D64" s="3" t="inlineStr">
        <s:is>
          <s:t>AREA-A</s:t>
        </s:is>
      </s:c>
      <s:c r="E64" s="3" t="inlineStr">
        <s:is>
          <s:t>COMPARE-5-V1</s:t>
        </s:is>
      </s:c>
      <s:c r="F64" s="3" t="inlineStr">
        <s:is>
          <s:t>2026-02-17T09:00:00+07:00</s:t>
        </s:is>
      </s:c>
      <s:c r="G64" s="2" t="n">
        <s:v>3</s:v>
      </s:c>
      <s:c r="H64" s="2" t="n">
        <s:v>4</s:v>
      </s:c>
      <s:c r="I64" s="2" t="n">
        <s:v>4</s:v>
      </s:c>
      <s:c r="J64" s="4" t="n">
        <s:v>0.5</s:v>
      </s:c>
      <s:c r="K64" s="4" t="n">
        <s:v>0.3</s:v>
      </s:c>
      <s:c r="L64" s="4" t="n">
        <s:v>0.2</s:v>
      </s:c>
      <s:c r="M64" s="4">
        <s:f>G64*J64+H64*K64+I64*L64</s:f>
        <s:v>3.5</s:v>
      </s:c>
      <s:c r="N64" s="3" t="inlineStr">
        <s:is>
          <s:t>MATCHED_SCRIPT_SIMULATED</s:t>
        </s:is>
      </s:c>
      <s:c r="O64" s="3" t="inlineStr">
        <s:is>
          <s:t>2026-02-01</s:t>
        </s:is>
      </s:c>
      <s:c r="P64" s="3" t="inlineStr">
        <s:is>
          <s:t>2026-02-28</s:t>
        </s:is>
      </s:c>
      <s:c r="Q64" s="3" t="inlineStr">
        <s:is>
          <s:t>2026-03-03T09:00:00+07:00</s:t>
        </s:is>
      </s:c>
    </s:row>
    <s:row r="65">
      <s:c r="A65" s="3" t="inlineStr">
        <s:is>
          <s:t>CMP-SUR-2-COMP-B-03</s:t>
        </s:is>
      </s:c>
      <s:c r="B65" s="3" t="inlineStr">
        <s:is>
          <s:t>COMP-B</s:t>
        </s:is>
      </s:c>
      <s:c r="C65" s="3" t="inlineStr">
        <s:is>
          <s:t>PROD-MILK</s:t>
        </s:is>
      </s:c>
      <s:c r="D65" s="3" t="inlineStr">
        <s:is>
          <s:t>AREA-A</s:t>
        </s:is>
      </s:c>
      <s:c r="E65" s="3" t="inlineStr">
        <s:is>
          <s:t>COMPARE-5-V1</s:t>
        </s:is>
      </s:c>
      <s:c r="F65" s="3" t="inlineStr">
        <s:is>
          <s:t>2026-02-18T09:00:00+07:00</s:t>
        </s:is>
      </s:c>
      <s:c r="G65" s="2" t="n">
        <s:v>4</s:v>
      </s:c>
      <s:c r="H65" s="2" t="n">
        <s:v>5</s:v>
      </s:c>
      <s:c r="I65" s="2" t="n">
        <s:v>4</s:v>
      </s:c>
      <s:c r="J65" s="4" t="n">
        <s:v>0.5</s:v>
      </s:c>
      <s:c r="K65" s="4" t="n">
        <s:v>0.3</s:v>
      </s:c>
      <s:c r="L65" s="4" t="n">
        <s:v>0.2</s:v>
      </s:c>
      <s:c r="M65" s="4">
        <s:f>G65*J65+H65*K65+I65*L65</s:f>
        <s:v>4.3</s:v>
      </s:c>
      <s:c r="N65" s="3" t="inlineStr">
        <s:is>
          <s:t>MATCHED_SCRIPT_SIMULATED</s:t>
        </s:is>
      </s:c>
      <s:c r="O65" s="3" t="inlineStr">
        <s:is>
          <s:t>2026-02-01</s:t>
        </s:is>
      </s:c>
      <s:c r="P65" s="3" t="inlineStr">
        <s:is>
          <s:t>2026-02-28</s:t>
        </s:is>
      </s:c>
      <s:c r="Q65" s="3" t="inlineStr">
        <s:is>
          <s:t>2026-03-03T09:00:00+07:00</s:t>
        </s:is>
      </s:c>
    </s:row>
    <s:row r="66">
      <s:c r="A66" s="3" t="inlineStr">
        <s:is>
          <s:t>CMP-SUR-2-COMP-B-04</s:t>
        </s:is>
      </s:c>
      <s:c r="B66" s="3" t="inlineStr">
        <s:is>
          <s:t>COMP-B</s:t>
        </s:is>
      </s:c>
      <s:c r="C66" s="3" t="inlineStr">
        <s:is>
          <s:t>PROD-MILK</s:t>
        </s:is>
      </s:c>
      <s:c r="D66" s="3" t="inlineStr">
        <s:is>
          <s:t>AREA-A</s:t>
        </s:is>
      </s:c>
      <s:c r="E66" s="3" t="inlineStr">
        <s:is>
          <s:t>COMPARE-5-V1</s:t>
        </s:is>
      </s:c>
      <s:c r="F66" s="3" t="inlineStr">
        <s:is>
          <s:t>2026-02-19T09:00:00+07:00</s:t>
        </s:is>
      </s:c>
      <s:c r="G66" s="2" t="n">
        <s:v>4</s:v>
      </s:c>
      <s:c r="H66" s="2" t="n">
        <s:v>3</s:v>
      </s:c>
      <s:c r="I66" s="2" t="n">
        <s:v>3</s:v>
      </s:c>
      <s:c r="J66" s="4" t="n">
        <s:v>0.5</s:v>
      </s:c>
      <s:c r="K66" s="4" t="n">
        <s:v>0.3</s:v>
      </s:c>
      <s:c r="L66" s="4" t="n">
        <s:v>0.2</s:v>
      </s:c>
      <s:c r="M66" s="4">
        <s:f>G66*J66+H66*K66+I66*L66</s:f>
        <s:v>3.5</s:v>
      </s:c>
      <s:c r="N66" s="3" t="inlineStr">
        <s:is>
          <s:t>MATCHED_SCRIPT_SIMULATED</s:t>
        </s:is>
      </s:c>
      <s:c r="O66" s="3" t="inlineStr">
        <s:is>
          <s:t>2026-02-01</s:t>
        </s:is>
      </s:c>
      <s:c r="P66" s="3" t="inlineStr">
        <s:is>
          <s:t>2026-02-28</s:t>
        </s:is>
      </s:c>
      <s:c r="Q66" s="3" t="inlineStr">
        <s:is>
          <s:t>2026-03-03T09:00:00+07:00</s:t>
        </s:is>
      </s:c>
    </s:row>
    <s:row r="67">
      <s:c r="A67" s="3" t="inlineStr">
        <s:is>
          <s:t>CMP-SUR-2-COMP-B-05</s:t>
        </s:is>
      </s:c>
      <s:c r="B67" s="3" t="inlineStr">
        <s:is>
          <s:t>COMP-B</s:t>
        </s:is>
      </s:c>
      <s:c r="C67" s="3" t="inlineStr">
        <s:is>
          <s:t>PROD-MILK</s:t>
        </s:is>
      </s:c>
      <s:c r="D67" s="3" t="inlineStr">
        <s:is>
          <s:t>AREA-A</s:t>
        </s:is>
      </s:c>
      <s:c r="E67" s="3" t="inlineStr">
        <s:is>
          <s:t>COMPARE-5-V1</s:t>
        </s:is>
      </s:c>
      <s:c r="F67" s="3" t="inlineStr">
        <s:is>
          <s:t>2026-02-20T09:00:00+07:00</s:t>
        </s:is>
      </s:c>
      <s:c r="G67" s="2" t="n">
        <s:v>5</s:v>
      </s:c>
      <s:c r="H67" s="2" t="n">
        <s:v>4</s:v>
      </s:c>
      <s:c r="I67" s="2" t="n">
        <s:v>3</s:v>
      </s:c>
      <s:c r="J67" s="4" t="n">
        <s:v>0.5</s:v>
      </s:c>
      <s:c r="K67" s="4" t="n">
        <s:v>0.3</s:v>
      </s:c>
      <s:c r="L67" s="4" t="n">
        <s:v>0.2</s:v>
      </s:c>
      <s:c r="M67" s="4">
        <s:f>G67*J67+H67*K67+I67*L67</s:f>
        <s:v>4.3</s:v>
      </s:c>
      <s:c r="N67" s="3" t="inlineStr">
        <s:is>
          <s:t>MATCHED_SCRIPT_SIMULATED</s:t>
        </s:is>
      </s:c>
      <s:c r="O67" s="3" t="inlineStr">
        <s:is>
          <s:t>2026-02-01</s:t>
        </s:is>
      </s:c>
      <s:c r="P67" s="3" t="inlineStr">
        <s:is>
          <s:t>2026-02-28</s:t>
        </s:is>
      </s:c>
      <s:c r="Q67" s="3" t="inlineStr">
        <s:is>
          <s:t>2026-03-03T09:00:00+07:00</s:t>
        </s:is>
      </s:c>
    </s:row>
    <s:row r="68">
      <s:c r="A68" s="3" t="inlineStr">
        <s:is>
          <s:t>CMP-SUR-2-COMP-B-06</s:t>
        </s:is>
      </s:c>
      <s:c r="B68" s="3" t="inlineStr">
        <s:is>
          <s:t>COMP-B</s:t>
        </s:is>
      </s:c>
      <s:c r="C68" s="3" t="inlineStr">
        <s:is>
          <s:t>PROD-MILK</s:t>
        </s:is>
      </s:c>
      <s:c r="D68" s="3" t="inlineStr">
        <s:is>
          <s:t>AREA-A</s:t>
        </s:is>
      </s:c>
      <s:c r="E68" s="3" t="inlineStr">
        <s:is>
          <s:t>COMPARE-5-V1</s:t>
        </s:is>
      </s:c>
      <s:c r="F68" s="3" t="inlineStr">
        <s:is>
          <s:t>2026-02-21T09:00:00+07:00</s:t>
        </s:is>
      </s:c>
      <s:c r="G68" s="2" t="n">
        <s:v>3</s:v>
      </s:c>
      <s:c r="H68" s="2" t="n">
        <s:v>4</s:v>
      </s:c>
      <s:c r="I68" s="2" t="n">
        <s:v>4</s:v>
      </s:c>
      <s:c r="J68" s="4" t="n">
        <s:v>0.5</s:v>
      </s:c>
      <s:c r="K68" s="4" t="n">
        <s:v>0.3</s:v>
      </s:c>
      <s:c r="L68" s="4" t="n">
        <s:v>0.2</s:v>
      </s:c>
      <s:c r="M68" s="4">
        <s:f>G68*J68+H68*K68+I68*L68</s:f>
        <s:v>3.5</s:v>
      </s:c>
      <s:c r="N68" s="3" t="inlineStr">
        <s:is>
          <s:t>MATCHED_SCRIPT_SIMULATED</s:t>
        </s:is>
      </s:c>
      <s:c r="O68" s="3" t="inlineStr">
        <s:is>
          <s:t>2026-02-01</s:t>
        </s:is>
      </s:c>
      <s:c r="P68" s="3" t="inlineStr">
        <s:is>
          <s:t>2026-02-28</s:t>
        </s:is>
      </s:c>
      <s:c r="Q68" s="3" t="inlineStr">
        <s:is>
          <s:t>2026-03-03T09:00:00+07:00</s:t>
        </s:is>
      </s:c>
    </s:row>
    <s:row r="69">
      <s:c r="A69" s="3" t="inlineStr">
        <s:is>
          <s:t>CMP-SUR-2-COMP-B-07</s:t>
        </s:is>
      </s:c>
      <s:c r="B69" s="3" t="inlineStr">
        <s:is>
          <s:t>COMP-B</s:t>
        </s:is>
      </s:c>
      <s:c r="C69" s="3" t="inlineStr">
        <s:is>
          <s:t>PROD-MILK</s:t>
        </s:is>
      </s:c>
      <s:c r="D69" s="3" t="inlineStr">
        <s:is>
          <s:t>AREA-A</s:t>
        </s:is>
      </s:c>
      <s:c r="E69" s="3" t="inlineStr">
        <s:is>
          <s:t>COMPARE-5-V1</s:t>
        </s:is>
      </s:c>
      <s:c r="F69" s="3" t="inlineStr">
        <s:is>
          <s:t>2026-02-22T09:00:00+07:00</s:t>
        </s:is>
      </s:c>
      <s:c r="G69" s="2" t="n">
        <s:v>4</s:v>
      </s:c>
      <s:c r="H69" s="2" t="n">
        <s:v>5</s:v>
      </s:c>
      <s:c r="I69" s="2" t="n">
        <s:v>4</s:v>
      </s:c>
      <s:c r="J69" s="4" t="n">
        <s:v>0.5</s:v>
      </s:c>
      <s:c r="K69" s="4" t="n">
        <s:v>0.3</s:v>
      </s:c>
      <s:c r="L69" s="4" t="n">
        <s:v>0.2</s:v>
      </s:c>
      <s:c r="M69" s="4">
        <s:f>G69*J69+H69*K69+I69*L69</s:f>
        <s:v>4.3</s:v>
      </s:c>
      <s:c r="N69" s="3" t="inlineStr">
        <s:is>
          <s:t>MATCHED_SCRIPT_SIMULATED</s:t>
        </s:is>
      </s:c>
      <s:c r="O69" s="3" t="inlineStr">
        <s:is>
          <s:t>2026-02-01</s:t>
        </s:is>
      </s:c>
      <s:c r="P69" s="3" t="inlineStr">
        <s:is>
          <s:t>2026-02-28</s:t>
        </s:is>
      </s:c>
      <s:c r="Q69" s="3" t="inlineStr">
        <s:is>
          <s:t>2026-03-03T09:00:00+07:00</s:t>
        </s:is>
      </s:c>
    </s:row>
    <s:row r="70">
      <s:c r="A70" s="3" t="inlineStr">
        <s:is>
          <s:t>CMP-SUR-2-COMP-B-08</s:t>
        </s:is>
      </s:c>
      <s:c r="B70" s="3" t="inlineStr">
        <s:is>
          <s:t>COMP-B</s:t>
        </s:is>
      </s:c>
      <s:c r="C70" s="3" t="inlineStr">
        <s:is>
          <s:t>PROD-MILK</s:t>
        </s:is>
      </s:c>
      <s:c r="D70" s="3" t="inlineStr">
        <s:is>
          <s:t>AREA-A</s:t>
        </s:is>
      </s:c>
      <s:c r="E70" s="3" t="inlineStr">
        <s:is>
          <s:t>COMPARE-5-V1</s:t>
        </s:is>
      </s:c>
      <s:c r="F70" s="3" t="inlineStr">
        <s:is>
          <s:t>2026-02-23T09:00:00+07:00</s:t>
        </s:is>
      </s:c>
      <s:c r="G70" s="2" t="n">
        <s:v>4</s:v>
      </s:c>
      <s:c r="H70" s="2" t="n">
        <s:v>3</s:v>
      </s:c>
      <s:c r="I70" s="2" t="n">
        <s:v>3</s:v>
      </s:c>
      <s:c r="J70" s="4" t="n">
        <s:v>0.5</s:v>
      </s:c>
      <s:c r="K70" s="4" t="n">
        <s:v>0.3</s:v>
      </s:c>
      <s:c r="L70" s="4" t="n">
        <s:v>0.2</s:v>
      </s:c>
      <s:c r="M70" s="4">
        <s:f>G70*J70+H70*K70+I70*L70</s:f>
        <s:v>3.5</s:v>
      </s:c>
      <s:c r="N70" s="3" t="inlineStr">
        <s:is>
          <s:t>MATCHED_SCRIPT_SIMULATED</s:t>
        </s:is>
      </s:c>
      <s:c r="O70" s="3" t="inlineStr">
        <s:is>
          <s:t>2026-02-01</s:t>
        </s:is>
      </s:c>
      <s:c r="P70" s="3" t="inlineStr">
        <s:is>
          <s:t>2026-02-28</s:t>
        </s:is>
      </s:c>
      <s:c r="Q70" s="3" t="inlineStr">
        <s:is>
          <s:t>2026-03-03T09:00:00+07:00</s:t>
        </s:is>
      </s:c>
    </s:row>
    <s:row r="71">
      <s:c r="A71" s="3" t="inlineStr">
        <s:is>
          <s:t>CMP-SUR-2-COMP-B-09</s:t>
        </s:is>
      </s:c>
      <s:c r="B71" s="3" t="inlineStr">
        <s:is>
          <s:t>COMP-B</s:t>
        </s:is>
      </s:c>
      <s:c r="C71" s="3" t="inlineStr">
        <s:is>
          <s:t>PROD-MILK</s:t>
        </s:is>
      </s:c>
      <s:c r="D71" s="3" t="inlineStr">
        <s:is>
          <s:t>AREA-A</s:t>
        </s:is>
      </s:c>
      <s:c r="E71" s="3" t="inlineStr">
        <s:is>
          <s:t>COMPARE-5-V1</s:t>
        </s:is>
      </s:c>
      <s:c r="F71" s="3" t="inlineStr">
        <s:is>
          <s:t>2026-02-24T09:00:00+07:00</s:t>
        </s:is>
      </s:c>
      <s:c r="G71" s="2" t="n">
        <s:v>5</s:v>
      </s:c>
      <s:c r="H71" s="2" t="n">
        <s:v>4</s:v>
      </s:c>
      <s:c r="I71" s="2" t="n">
        <s:v>3</s:v>
      </s:c>
      <s:c r="J71" s="4" t="n">
        <s:v>0.5</s:v>
      </s:c>
      <s:c r="K71" s="4" t="n">
        <s:v>0.3</s:v>
      </s:c>
      <s:c r="L71" s="4" t="n">
        <s:v>0.2</s:v>
      </s:c>
      <s:c r="M71" s="4">
        <s:f>G71*J71+H71*K71+I71*L71</s:f>
        <s:v>4.3</s:v>
      </s:c>
      <s:c r="N71" s="3" t="inlineStr">
        <s:is>
          <s:t>MATCHED_SCRIPT_SIMULATED</s:t>
        </s:is>
      </s:c>
      <s:c r="O71" s="3" t="inlineStr">
        <s:is>
          <s:t>2026-02-01</s:t>
        </s:is>
      </s:c>
      <s:c r="P71" s="3" t="inlineStr">
        <s:is>
          <s:t>2026-02-28</s:t>
        </s:is>
      </s:c>
      <s:c r="Q71" s="3" t="inlineStr">
        <s:is>
          <s:t>2026-03-03T09:00:00+07:00</s:t>
        </s:is>
      </s:c>
    </s:row>
    <s:row r="72">
      <s:c r="A72" s="3" t="inlineStr">
        <s:is>
          <s:t>CMP-SUR-2-COMP-B-10</s:t>
        </s:is>
      </s:c>
      <s:c r="B72" s="3" t="inlineStr">
        <s:is>
          <s:t>COMP-B</s:t>
        </s:is>
      </s:c>
      <s:c r="C72" s="3" t="inlineStr">
        <s:is>
          <s:t>PROD-MILK</s:t>
        </s:is>
      </s:c>
      <s:c r="D72" s="3" t="inlineStr">
        <s:is>
          <s:t>AREA-A</s:t>
        </s:is>
      </s:c>
      <s:c r="E72" s="3" t="inlineStr">
        <s:is>
          <s:t>COMPARE-5-V1</s:t>
        </s:is>
      </s:c>
      <s:c r="F72" s="3" t="inlineStr">
        <s:is>
          <s:t>2026-02-25T09:00:00+07:00</s:t>
        </s:is>
      </s:c>
      <s:c r="G72" s="2" t="n">
        <s:v>3</s:v>
      </s:c>
      <s:c r="H72" s="2" t="n">
        <s:v>4</s:v>
      </s:c>
      <s:c r="I72" s="2" t="n">
        <s:v>4</s:v>
      </s:c>
      <s:c r="J72" s="4" t="n">
        <s:v>0.5</s:v>
      </s:c>
      <s:c r="K72" s="4" t="n">
        <s:v>0.3</s:v>
      </s:c>
      <s:c r="L72" s="4" t="n">
        <s:v>0.2</s:v>
      </s:c>
      <s:c r="M72" s="4">
        <s:f>G72*J72+H72*K72+I72*L72</s:f>
        <s:v>3.5</s:v>
      </s:c>
      <s:c r="N72" s="3" t="inlineStr">
        <s:is>
          <s:t>MATCHED_SCRIPT_SIMULATED</s:t>
        </s:is>
      </s:c>
      <s:c r="O72" s="3" t="inlineStr">
        <s:is>
          <s:t>2026-02-01</s:t>
        </s:is>
      </s:c>
      <s:c r="P72" s="3" t="inlineStr">
        <s:is>
          <s:t>2026-02-28</s:t>
        </s:is>
      </s:c>
      <s:c r="Q72" s="3" t="inlineStr">
        <s:is>
          <s:t>2026-03-03T09:00:00+07:00</s:t>
        </s:is>
      </s:c>
    </s:row>
    <s:row r="73">
      <s:c r="A73" s="3" t="inlineStr">
        <s:is>
          <s:t>CMP-SUR-2-COMP-B-11</s:t>
        </s:is>
      </s:c>
      <s:c r="B73" s="3" t="inlineStr">
        <s:is>
          <s:t>COMP-B</s:t>
        </s:is>
      </s:c>
      <s:c r="C73" s="3" t="inlineStr">
        <s:is>
          <s:t>PROD-MILK</s:t>
        </s:is>
      </s:c>
      <s:c r="D73" s="3" t="inlineStr">
        <s:is>
          <s:t>AREA-A</s:t>
        </s:is>
      </s:c>
      <s:c r="E73" s="3" t="inlineStr">
        <s:is>
          <s:t>COMPARE-5-V1</s:t>
        </s:is>
      </s:c>
      <s:c r="F73" s="3" t="inlineStr">
        <s:is>
          <s:t>2026-02-26T09:00:00+07:00</s:t>
        </s:is>
      </s:c>
      <s:c r="G73" s="2" t="n">
        <s:v>4</s:v>
      </s:c>
      <s:c r="H73" s="2" t="n">
        <s:v>5</s:v>
      </s:c>
      <s:c r="I73" s="2" t="n">
        <s:v>4</s:v>
      </s:c>
      <s:c r="J73" s="4" t="n">
        <s:v>0.5</s:v>
      </s:c>
      <s:c r="K73" s="4" t="n">
        <s:v>0.3</s:v>
      </s:c>
      <s:c r="L73" s="4" t="n">
        <s:v>0.2</s:v>
      </s:c>
      <s:c r="M73" s="4">
        <s:f>G73*J73+H73*K73+I73*L73</s:f>
        <s:v>4.3</s:v>
      </s:c>
      <s:c r="N73" s="3" t="inlineStr">
        <s:is>
          <s:t>MATCHED_SCRIPT_SIMULATED</s:t>
        </s:is>
      </s:c>
      <s:c r="O73" s="3" t="inlineStr">
        <s:is>
          <s:t>2026-02-01</s:t>
        </s:is>
      </s:c>
      <s:c r="P73" s="3" t="inlineStr">
        <s:is>
          <s:t>2026-02-28</s:t>
        </s:is>
      </s:c>
      <s:c r="Q73" s="3" t="inlineStr">
        <s:is>
          <s:t>2026-03-03T09:00:00+07:00</s:t>
        </s:is>
      </s:c>
    </s:row>
  </s:sheetData>
  <s:autoFilter ref="A1:Q73"/>
  <s:dataValidations count="7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G2:G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H2:H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I2:I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M2:M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O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5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23" customWidth="1" min="7" max="7"/>
    <s:col width="29" customWidth="1" min="8" max="8"/>
    <s:col width="20" customWidth="1" min="9" max="9"/>
    <s:col width="18" customWidth="1" min="10" max="10"/>
    <s:col width="20" customWidth="1" min="11" max="11"/>
    <s:col width="21" customWidth="1" min="12" max="12"/>
    <s:col width="18" customWidth="1" min="13" max="13"/>
    <s:col width="18" customWidth="1" min="14" max="14"/>
    <s:col width="18" customWidth="1" min="15" max="15"/>
  </s:cols>
  <s:sheetData>
    <s:row r="1" ht="32" customHeight="1">
      <s:c r="A1" s="1" t="inlineStr">
        <s:is>
          <s:t>competitive_summary_id</s:t>
        </s:is>
      </s:c>
      <s:c r="B1" s="1" t="inlineStr">
        <s:is>
          <s:t>competitor_code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period_start</s:t>
        </s:is>
      </s:c>
      <s:c r="F1" s="1" t="inlineStr">
        <s:is>
          <s:t>period_end</s:t>
        </s:is>
      </s:c>
      <s:c r="G1" s="1" t="inlineStr">
        <s:is>
          <s:t>price_observation_id</s:t>
        </s:is>
      </s:c>
      <s:c r="H1" s="1" t="inlineStr">
        <s:is>
          <s:t>normalized_price_idr_per_l</s:t>
        </s:is>
      </s:c>
      <s:c r="I1" s="1" t="inlineStr">
        <s:is>
          <s:t>price_observed_at</s:t>
        </s:is>
      </s:c>
      <s:c r="J1" s="1" t="inlineStr">
        <s:is>
          <s:t>sample_count</s:t>
        </s:is>
      </s:c>
      <s:c r="K1" s="1" t="inlineStr">
        <s:is>
          <s:t>avg_service_score</s:t>
        </s:is>
      </s:c>
      <s:c r="L1" s="1" t="inlineStr">
        <s:is>
          <s:t>avg_weighted_score</s:t>
        </s:is>
      </s:c>
      <s:c r="M1" s="1" t="inlineStr">
        <s:is>
          <s:t>survey_version</s:t>
        </s:is>
      </s:c>
      <s:c r="N1" s="1" t="inlineStr">
        <s:is>
          <s:t>sample_status</s:t>
        </s:is>
      </s:c>
      <s:c r="O1" s="1" t="inlineStr">
        <s:is>
          <s:t>collected_at</s:t>
        </s:is>
      </s:c>
    </s:row>
    <s:row r="2">
      <s:c r="A2" s="3" t="inlineStr">
        <s:is>
          <s:t>COMP-1-OWN</s:t>
        </s:is>
      </s:c>
      <s:c r="B2" s="3" t="inlineStr">
        <s:is>
          <s:t>OWN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2026-01-01</s:t>
        </s:is>
      </s:c>
      <s:c r="F2" s="3" t="inlineStr">
        <s:is>
          <s:t>2026-01-31</s:t>
        </s:is>
      </s:c>
      <s:c r="G2" s="3" t="inlineStr">
        <s:is>
          <s:t>PRICE-1-OWN</s:t>
        </s:is>
      </s:c>
      <s:c r="H2" s="4">
        <s:f>SUMIFS('Harga_Observasi'!H:H,'Harga_Observasi'!A:A,G2)</s:f>
        <s:v>26000.0</s:v>
      </s:c>
      <s:c r="I2" s="3" t="inlineStr">
        <s:is>
          <s:t>2026-01-28T09:00:00+07:00</s:t>
        </s:is>
      </s:c>
      <s:c r="J2" s="2">
        <s:f>COUNTIFS('Competitive_Survey'!B:B,B2,'Competitive_Survey'!C:C,C2,'Competitive_Survey'!D:D,D2,'Competitive_Survey'!E:E,M2,'Competitive_Survey'!O:O,E2,'Competitive_Survey'!P:P,F2)</s:f>
        <s:v>12</s:v>
      </s:c>
      <s:c r="K2" s="4">
        <s:f>AVERAGEIFS('Competitive_Survey'!H:H,'Competitive_Survey'!B:B,B2,'Competitive_Survey'!C:C,C2,'Competitive_Survey'!D:D,D2,'Competitive_Survey'!E:E,M2,'Competitive_Survey'!O:O,E2,'Competitive_Survey'!P:P,F2)</s:f>
        <s:v>3.25</s:v>
      </s:c>
      <s:c r="L2" s="4">
        <s:f>AVERAGEIFS('Competitive_Survey'!M:M,'Competitive_Survey'!B:B,B2,'Competitive_Survey'!C:C,C2,'Competitive_Survey'!D:D,D2,'Competitive_Survey'!E:E,M2,'Competitive_Survey'!O:O,E2,'Competitive_Survey'!P:P,F2)</s:f>
        <s:v>3.675</s:v>
      </s:c>
      <s:c r="M2" s="3" t="inlineStr">
        <s:is>
          <s:t>COMPARE-5-V1</s:t>
        </s:is>
      </s:c>
      <s:c r="N2" s="3" t="inlineStr">
        <s:is>
          <s:t>SMALL_SAMPLE</s:t>
        </s:is>
      </s:c>
      <s:c r="O2" s="3" t="inlineStr">
        <s:is>
          <s:t>2026-03-03T09:00:00+07:00</s:t>
        </s:is>
      </s:c>
    </s:row>
    <s:row r="3">
      <s:c r="A3" s="3" t="inlineStr">
        <s:is>
          <s:t>COMP-1-COMP-A</s:t>
        </s:is>
      </s:c>
      <s:c r="B3" s="3" t="inlineStr">
        <s:is>
          <s:t>COMP-A</s:t>
        </s:is>
      </s:c>
      <s:c r="C3" s="3" t="inlineStr">
        <s:is>
          <s:t>PROD-MILK</s:t>
        </s:is>
      </s:c>
      <s:c r="D3" s="3" t="inlineStr">
        <s:is>
          <s:t>AREA-A</s:t>
        </s:is>
      </s:c>
      <s:c r="E3" s="3" t="inlineStr">
        <s:is>
          <s:t>2026-01-01</s:t>
        </s:is>
      </s:c>
      <s:c r="F3" s="3" t="inlineStr">
        <s:is>
          <s:t>2026-01-31</s:t>
        </s:is>
      </s:c>
      <s:c r="G3" s="3" t="inlineStr">
        <s:is>
          <s:t>PRICE-1-COMP-A</s:t>
        </s:is>
      </s:c>
      <s:c r="H3" s="4">
        <s:f>SUMIFS('Harga_Observasi'!H:H,'Harga_Observasi'!A:A,G3)</s:f>
        <s:v>26666.666667</s:v>
      </s:c>
      <s:c r="I3" s="3" t="inlineStr">
        <s:is>
          <s:t>2026-01-28T09:00:00+07:00</s:t>
        </s:is>
      </s:c>
      <s:c r="J3" s="2">
        <s:f>COUNTIFS('Competitive_Survey'!B:B,B3,'Competitive_Survey'!C:C,C3,'Competitive_Survey'!D:D,D3,'Competitive_Survey'!E:E,M3,'Competitive_Survey'!O:O,E3,'Competitive_Survey'!P:P,F3)</s:f>
        <s:v>12</s:v>
      </s:c>
      <s:c r="K3" s="4">
        <s:f>AVERAGEIFS('Competitive_Survey'!H:H,'Competitive_Survey'!B:B,B3,'Competitive_Survey'!C:C,C3,'Competitive_Survey'!D:D,D3,'Competitive_Survey'!E:E,M3,'Competitive_Survey'!O:O,E3,'Competitive_Survey'!P:P,F3)</s:f>
        <s:v>4.0</s:v>
      </s:c>
      <s:c r="L3" s="4">
        <s:f>AVERAGEIFS('Competitive_Survey'!M:M,'Competitive_Survey'!B:B,B3,'Competitive_Survey'!C:C,C3,'Competitive_Survey'!D:D,D3,'Competitive_Survey'!E:E,M3,'Competitive_Survey'!O:O,E3,'Competitive_Survey'!P:P,F3)</s:f>
        <s:v>3.9</s:v>
      </s:c>
      <s:c r="M3" s="3" t="inlineStr">
        <s:is>
          <s:t>COMPARE-5-V1</s:t>
        </s:is>
      </s:c>
      <s:c r="N3" s="3" t="inlineStr">
        <s:is>
          <s:t>SMALL_SAMPLE</s:t>
        </s:is>
      </s:c>
      <s:c r="O3" s="3" t="inlineStr">
        <s:is>
          <s:t>2026-03-03T09:00:00+07:00</s:t>
        </s:is>
      </s:c>
    </s:row>
    <s:row r="4">
      <s:c r="A4" s="3" t="inlineStr">
        <s:is>
          <s:t>COMP-1-COMP-B</s:t>
        </s:is>
      </s:c>
      <s:c r="B4" s="3" t="inlineStr">
        <s:is>
          <s:t>COMP-B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2026-01-01</s:t>
        </s:is>
      </s:c>
      <s:c r="F4" s="3" t="inlineStr">
        <s:is>
          <s:t>2026-01-31</s:t>
        </s:is>
      </s:c>
      <s:c r="G4" s="3" t="inlineStr">
        <s:is>
          <s:t>PRICE-1-COMP-B</s:t>
        </s:is>
      </s:c>
      <s:c r="H4" s="4">
        <s:f>SUMIFS('Harga_Observasi'!H:H,'Harga_Observasi'!A:A,G4)</s:f>
        <s:v>28000.0</s:v>
      </s:c>
      <s:c r="I4" s="3" t="inlineStr">
        <s:is>
          <s:t>2026-01-28T09:00:00+07:00</s:t>
        </s:is>
      </s:c>
      <s:c r="J4" s="2">
        <s:f>COUNTIFS('Competitive_Survey'!B:B,B4,'Competitive_Survey'!C:C,C4,'Competitive_Survey'!D:D,D4,'Competitive_Survey'!E:E,M4,'Competitive_Survey'!O:O,E4,'Competitive_Survey'!P:P,F4)</s:f>
        <s:v>12</s:v>
      </s:c>
      <s:c r="K4" s="4">
        <s:f>AVERAGEIFS('Competitive_Survey'!H:H,'Competitive_Survey'!B:B,B4,'Competitive_Survey'!C:C,C4,'Competitive_Survey'!D:D,D4,'Competitive_Survey'!E:E,M4,'Competitive_Survey'!O:O,E4,'Competitive_Survey'!P:P,F4)</s:f>
        <s:v>4.0</s:v>
      </s:c>
      <s:c r="L4" s="4">
        <s:f>AVERAGEIFS('Competitive_Survey'!M:M,'Competitive_Survey'!B:B,B4,'Competitive_Survey'!C:C,C4,'Competitive_Survey'!D:D,D4,'Competitive_Survey'!E:E,M4,'Competitive_Survey'!O:O,E4,'Competitive_Survey'!P:P,F4)</s:f>
        <s:v>3.9</s:v>
      </s:c>
      <s:c r="M4" s="3" t="inlineStr">
        <s:is>
          <s:t>COMPARE-5-V1</s:t>
        </s:is>
      </s:c>
      <s:c r="N4" s="3" t="inlineStr">
        <s:is>
          <s:t>SMALL_SAMPLE</s:t>
        </s:is>
      </s:c>
      <s:c r="O4" s="3" t="inlineStr">
        <s:is>
          <s:t>2026-03-03T09:00:00+07:00</s:t>
        </s:is>
      </s:c>
    </s:row>
    <s:row r="5">
      <s:c r="A5" s="3" t="inlineStr">
        <s:is>
          <s:t>COMP-2-OWN</s:t>
        </s:is>
      </s:c>
      <s:c r="B5" s="3" t="inlineStr">
        <s:is>
          <s:t>OWN</s:t>
        </s:is>
      </s:c>
      <s:c r="C5" s="3" t="inlineStr">
        <s:is>
          <s:t>PROD-MILK</s:t>
        </s:is>
      </s:c>
      <s:c r="D5" s="3" t="inlineStr">
        <s:is>
          <s:t>AREA-A</s:t>
        </s:is>
      </s:c>
      <s:c r="E5" s="3" t="inlineStr">
        <s:is>
          <s:t>2026-02-01</s:t>
        </s:is>
      </s:c>
      <s:c r="F5" s="3" t="inlineStr">
        <s:is>
          <s:t>2026-02-28</s:t>
        </s:is>
      </s:c>
      <s:c r="G5" s="3" t="inlineStr">
        <s:is>
          <s:t>PRICE-2-OWN</s:t>
        </s:is>
      </s:c>
      <s:c r="H5" s="4">
        <s:f>SUMIFS('Harga_Observasi'!H:H,'Harga_Observasi'!A:A,G5)</s:f>
        <s:v>26500.0</s:v>
      </s:c>
      <s:c r="I5" s="3" t="inlineStr">
        <s:is>
          <s:t>2026-02-28T09:00:00+07:00</s:t>
        </s:is>
      </s:c>
      <s:c r="J5" s="2">
        <s:f>COUNTIFS('Competitive_Survey'!B:B,B5,'Competitive_Survey'!C:C,C5,'Competitive_Survey'!D:D,D5,'Competitive_Survey'!E:E,M5,'Competitive_Survey'!O:O,E5,'Competitive_Survey'!P:P,F5)</s:f>
        <s:v>12</s:v>
      </s:c>
      <s:c r="K5" s="4">
        <s:f>AVERAGEIFS('Competitive_Survey'!H:H,'Competitive_Survey'!B:B,B5,'Competitive_Survey'!C:C,C5,'Competitive_Survey'!D:D,D5,'Competitive_Survey'!E:E,M5,'Competitive_Survey'!O:O,E5,'Competitive_Survey'!P:P,F5)</s:f>
        <s:v>3.25</s:v>
      </s:c>
      <s:c r="L5" s="4">
        <s:f>AVERAGEIFS('Competitive_Survey'!M:M,'Competitive_Survey'!B:B,B5,'Competitive_Survey'!C:C,C5,'Competitive_Survey'!D:D,D5,'Competitive_Survey'!E:E,M5,'Competitive_Survey'!O:O,E5,'Competitive_Survey'!P:P,F5)</s:f>
        <s:v>3.675</s:v>
      </s:c>
      <s:c r="M5" s="3" t="inlineStr">
        <s:is>
          <s:t>COMPARE-5-V1</s:t>
        </s:is>
      </s:c>
      <s:c r="N5" s="3" t="inlineStr">
        <s:is>
          <s:t>SMALL_SAMPLE</s:t>
        </s:is>
      </s:c>
      <s:c r="O5" s="3" t="inlineStr">
        <s:is>
          <s:t>2026-03-03T09:00:00+07:00</s:t>
        </s:is>
      </s:c>
    </s:row>
    <s:row r="6">
      <s:c r="A6" s="3" t="inlineStr">
        <s:is>
          <s:t>COMP-2-COMP-A</s:t>
        </s:is>
      </s:c>
      <s:c r="B6" s="3" t="inlineStr">
        <s:is>
          <s:t>COMP-A</s:t>
        </s:is>
      </s:c>
      <s:c r="C6" s="3" t="inlineStr">
        <s:is>
          <s:t>PROD-MILK</s:t>
        </s:is>
      </s:c>
      <s:c r="D6" s="3" t="inlineStr">
        <s:is>
          <s:t>AREA-A</s:t>
        </s:is>
      </s:c>
      <s:c r="E6" s="3" t="inlineStr">
        <s:is>
          <s:t>2026-02-01</s:t>
        </s:is>
      </s:c>
      <s:c r="F6" s="3" t="inlineStr">
        <s:is>
          <s:t>2026-02-28</s:t>
        </s:is>
      </s:c>
      <s:c r="G6" s="3" t="inlineStr">
        <s:is>
          <s:t>PRICE-2-COMP-A</s:t>
        </s:is>
      </s:c>
      <s:c r="H6" s="4">
        <s:f>SUMIFS('Harga_Observasi'!H:H,'Harga_Observasi'!A:A,G6)</s:f>
        <s:v>27222.222222</s:v>
      </s:c>
      <s:c r="I6" s="3" t="inlineStr">
        <s:is>
          <s:t>2026-02-28T09:00:00+07:00</s:t>
        </s:is>
      </s:c>
      <s:c r="J6" s="2">
        <s:f>COUNTIFS('Competitive_Survey'!B:B,B6,'Competitive_Survey'!C:C,C6,'Competitive_Survey'!D:D,D6,'Competitive_Survey'!E:E,M6,'Competitive_Survey'!O:O,E6,'Competitive_Survey'!P:P,F6)</s:f>
        <s:v>12</s:v>
      </s:c>
      <s:c r="K6" s="4">
        <s:f>AVERAGEIFS('Competitive_Survey'!H:H,'Competitive_Survey'!B:B,B6,'Competitive_Survey'!C:C,C6,'Competitive_Survey'!D:D,D6,'Competitive_Survey'!E:E,M6,'Competitive_Survey'!O:O,E6,'Competitive_Survey'!P:P,F6)</s:f>
        <s:v>4.0</s:v>
      </s:c>
      <s:c r="L6" s="4">
        <s:f>AVERAGEIFS('Competitive_Survey'!M:M,'Competitive_Survey'!B:B,B6,'Competitive_Survey'!C:C,C6,'Competitive_Survey'!D:D,D6,'Competitive_Survey'!E:E,M6,'Competitive_Survey'!O:O,E6,'Competitive_Survey'!P:P,F6)</s:f>
        <s:v>3.9</s:v>
      </s:c>
      <s:c r="M6" s="3" t="inlineStr">
        <s:is>
          <s:t>COMPARE-5-V1</s:t>
        </s:is>
      </s:c>
      <s:c r="N6" s="3" t="inlineStr">
        <s:is>
          <s:t>SMALL_SAMPLE</s:t>
        </s:is>
      </s:c>
      <s:c r="O6" s="3" t="inlineStr">
        <s:is>
          <s:t>2026-03-03T09:00:00+07:00</s:t>
        </s:is>
      </s:c>
    </s:row>
    <s:row r="7">
      <s:c r="A7" s="3" t="inlineStr">
        <s:is>
          <s:t>COMP-2-COMP-B</s:t>
        </s:is>
      </s:c>
      <s:c r="B7" s="3" t="inlineStr">
        <s:is>
          <s:t>COMP-B</s:t>
        </s:is>
      </s:c>
      <s:c r="C7" s="3" t="inlineStr">
        <s:is>
          <s:t>PROD-MILK</s:t>
        </s:is>
      </s:c>
      <s:c r="D7" s="3" t="inlineStr">
        <s:is>
          <s:t>AREA-A</s:t>
        </s:is>
      </s:c>
      <s:c r="E7" s="3" t="inlineStr">
        <s:is>
          <s:t>2026-02-01</s:t>
        </s:is>
      </s:c>
      <s:c r="F7" s="3" t="inlineStr">
        <s:is>
          <s:t>2026-02-28</s:t>
        </s:is>
      </s:c>
      <s:c r="G7" s="3" t="inlineStr">
        <s:is>
          <s:t>PRICE-2-COMP-B</s:t>
        </s:is>
      </s:c>
      <s:c r="H7" s="4">
        <s:f>SUMIFS('Harga_Observasi'!H:H,'Harga_Observasi'!A:A,G7)</s:f>
        <s:v>28500.0</s:v>
      </s:c>
      <s:c r="I7" s="3" t="inlineStr">
        <s:is>
          <s:t>2026-02-28T09:00:00+07:00</s:t>
        </s:is>
      </s:c>
      <s:c r="J7" s="2">
        <s:f>COUNTIFS('Competitive_Survey'!B:B,B7,'Competitive_Survey'!C:C,C7,'Competitive_Survey'!D:D,D7,'Competitive_Survey'!E:E,M7,'Competitive_Survey'!O:O,E7,'Competitive_Survey'!P:P,F7)</s:f>
        <s:v>12</s:v>
      </s:c>
      <s:c r="K7" s="4">
        <s:f>AVERAGEIFS('Competitive_Survey'!H:H,'Competitive_Survey'!B:B,B7,'Competitive_Survey'!C:C,C7,'Competitive_Survey'!D:D,D7,'Competitive_Survey'!E:E,M7,'Competitive_Survey'!O:O,E7,'Competitive_Survey'!P:P,F7)</s:f>
        <s:v>4.0</s:v>
      </s:c>
      <s:c r="L7" s="4">
        <s:f>AVERAGEIFS('Competitive_Survey'!M:M,'Competitive_Survey'!B:B,B7,'Competitive_Survey'!C:C,C7,'Competitive_Survey'!D:D,D7,'Competitive_Survey'!E:E,M7,'Competitive_Survey'!O:O,E7,'Competitive_Survey'!P:P,F7)</s:f>
        <s:v>3.9</s:v>
      </s:c>
      <s:c r="M7" s="3" t="inlineStr">
        <s:is>
          <s:t>COMPARE-5-V1</s:t>
        </s:is>
      </s:c>
      <s:c r="N7" s="3" t="inlineStr">
        <s:is>
          <s:t>SMALL_SAMPLE</s:t>
        </s:is>
      </s:c>
      <s:c r="O7" s="3" t="inlineStr">
        <s:is>
          <s:t>2026-03-03T09:00:00+07:00</s:t>
        </s:is>
      </s:c>
    </s:row>
  </s:sheetData>
  <s:autoFilter ref="A1:O7"/>
  <s:dataValidations count="5">
    <s:dataValidation sqref="B2:B1001" showDropDown="0" showInputMessage="0" showErrorMessage="1" allowBlank="0" errorTitle="Kode belum ada di master" error="Pilih kode rujukan yang sah; master baru harus direview sebelum dipakai." type="list">
      <s:formula1>=REF_competitor_code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K2:K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  <s:dataValidation sqref="L2:L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3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ACT-COMP-01</t>
        </is>
      </c>
      <c r="B2" s="3" t="inlineStr">
        <is>
          <t>Competitive_Rekap</t>
        </is>
      </c>
      <c r="C2" s="3" t="inlineStr">
        <is>
          <t>COMP-1-OWN</t>
        </is>
      </c>
      <c r="D2" s="3" t="inlineStr">
        <is>
          <t>UNIT-CS</t>
        </is>
      </c>
      <c r="E2" s="3" t="inlineStr">
        <is>
          <t>SERVICE_SCORE</t>
        </is>
      </c>
      <c r="F2" s="3" t="inlineStr">
        <is>
          <t>2026-01-01</t>
        </is>
      </c>
      <c r="G2" s="3" t="inlineStr">
        <is>
          <t>2026-01-31</t>
        </is>
      </c>
      <c r="H2" s="4" t="n">
        <v>3.25</v>
      </c>
      <c r="I2" s="4" t="n">
        <v>4</v>
      </c>
      <c r="J2" s="3" t="inlineStr">
        <is>
          <t>SCORE_1_5</t>
        </is>
      </c>
      <c r="K2" s="3" t="inlineStr">
        <is>
          <t>Skor layanan organisasi contoh perlu dibandingkan pada metode yang sama.</t>
        </is>
      </c>
      <c r="L2" s="3" t="inlineStr">
        <is>
          <t>Proses layanan mungkin berpengaruh; persepsi brand dan bias sampel belum dieliminasi.</t>
        </is>
      </c>
      <c r="M2" s="3" t="inlineStr">
        <is>
          <t>UNVERIFIED</t>
        </is>
      </c>
      <c r="N2" s="3" t="inlineStr">
        <is>
          <t>SIMULASI::Competitive_Rekap::COMP-1-OWN</t>
        </is>
      </c>
      <c r="O2" s="3" t="inlineStr">
        <is>
          <t>Verifikasi kesetaraan produk/outlet dan tambah sampel; audit proses layanan sebelum uji perbaikan. Jangan mengubah harga hanya dari skor contoh.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competitiveness harga dan layanan</dc:title>
  <dcterms:created xsi:type="dcterms:W3CDTF">2026-03-03T02:00:00Z</dcterms:created>
  <dcterms:modified xsi:type="dcterms:W3CDTF">2026-03-03T02:00:00Z</dcterms:modified>
</cp:coreProperties>
</file>