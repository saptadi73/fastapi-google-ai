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A_DULU" sheetId="1" state="visible" r:id="rId1"/>
    <sheet name="Kamus_Data" sheetId="2" state="visible" r:id="rId2"/>
    <sheet name="Rencana_ETL" sheetId="3" state="visible" r:id="rId3"/>
    <sheet name="Master_Unit" sheetId="4" state="visible" r:id="rId4"/>
    <sheet name="Master_Tim" sheetId="5" state="visible" r:id="rId5"/>
    <sheet name="Master_Indikator" sheetId="6" state="visible" r:id="rId6"/>
    <sheet name="KPI_Plan" sheetId="7" state="visible" r:id="rId7"/>
    <sheet name="KPI_Measurement" sheetId="8" state="visible" r:id="rId8"/>
    <sheet name="KPI_Result" sheetId="9" state="visible" r:id="rId9"/>
    <sheet name="Action_Plan" sheetId="10" state="visible" r:id="rId10"/>
  </sheets>
  <definedNames>
    <definedName name="REF_unit_code">'Master_Unit'!$A$2:$A$4</definedName>
    <definedName name="REF_owner_team_code">'Master_Tim'!$A$2:$A$4</definedName>
    <definedName name="REF_indicator_code">'Master_Indikator'!$A$2:$A$9</definedName>
    <definedName name="_xlnm._FilterDatabase" localSheetId="0" hidden="1">'BACA_DULU'!$A$1:$B$11</definedName>
    <definedName name="_xlnm._FilterDatabase" localSheetId="1" hidden="1">'Kamus_Data'!$A$1:$G$78</definedName>
    <definedName name="_xlnm._FilterDatabase" localSheetId="2" hidden="1">'Rencana_ETL'!$A$1:$G$8</definedName>
    <definedName name="_xlnm._FilterDatabase" localSheetId="3" hidden="1">'Master_Unit'!$A$1:$C$4</definedName>
    <definedName name="_xlnm._FilterDatabase" localSheetId="4" hidden="1">'Master_Tim'!$A$1:$C$4</definedName>
    <definedName name="_xlnm._FilterDatabase" localSheetId="5" hidden="1">'Master_Indikator'!$A$1:$F$9</definedName>
    <definedName name="_xlnm._FilterDatabase" localSheetId="6" hidden="1">'KPI_Plan'!$A$1:$M$9</definedName>
    <definedName name="_xlnm._FilterDatabase" localSheetId="7" hidden="1">'KPI_Measurement'!$A$1:$J$25</definedName>
    <definedName name="_xlnm._FilterDatabase" localSheetId="8" hidden="1">'KPI_Result'!$A$1:$S$9</definedName>
    <definedName name="_xlnm._FilterDatabase" localSheetId="9" hidden="1">'Action_Plan'!$A$1:$W$2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_Master_Unit" displayName="T_Master_Unit" ref="A1:C4" headerRowCount="1">
  <autoFilter ref="A1:C4"/>
  <tableColumns count="3">
    <tableColumn id="1" name="unit_code"/>
    <tableColumn id="2" name="unit_label"/>
    <tableColumn id="3" name="is_active"/>
  </tableColumns>
  <tableStyleInfo name="TableStyleMedium2" showRowStripes="1"/>
</table>
</file>

<file path=xl/tables/table2.xml><?xml version="1.0" encoding="utf-8"?>
<table xmlns="http://schemas.openxmlformats.org/spreadsheetml/2006/main" id="2" name="T_Master_Tim" displayName="T_Master_Tim" ref="A1:C4" headerRowCount="1">
  <autoFilter ref="A1:C4"/>
  <tableColumns count="3">
    <tableColumn id="1" name="owner_team_code"/>
    <tableColumn id="2" name="team_label"/>
    <tableColumn id="3" name="unit_code"/>
  </tableColumns>
  <tableStyleInfo name="TableStyleMedium2" showRowStripes="1"/>
</table>
</file>

<file path=xl/tables/table3.xml><?xml version="1.0" encoding="utf-8"?>
<table xmlns="http://schemas.openxmlformats.org/spreadsheetml/2006/main" id="3" name="T_Master_Indikator" displayName="T_Master_Indikator" ref="A1:F9" headerRowCount="1">
  <autoFilter ref="A1:F9"/>
  <tableColumns count="6">
    <tableColumn id="1" name="indicator_code"/>
    <tableColumn id="2" name="indicator_label"/>
    <tableColumn id="3" name="measurement_unit"/>
    <tableColumn id="4" name="direction"/>
    <tableColumn id="5" name="aggregation"/>
    <tableColumn id="6" name="definition"/>
  </tableColumns>
  <tableStyleInfo name="TableStyleMedium2" showRowStripes="1"/>
</table>
</file>

<file path=xl/tables/table4.xml><?xml version="1.0" encoding="utf-8"?>
<table xmlns="http://schemas.openxmlformats.org/spreadsheetml/2006/main" id="4" name="T_KPI_Plan" displayName="T_KPI_Plan" ref="A1:M9" headerRowCount="1">
  <autoFilter ref="A1:M9"/>
  <tableColumns count="13">
    <tableColumn id="1" name="plan_id"/>
    <tableColumn id="2" name="goal_id"/>
    <tableColumn id="3" name="goal_description"/>
    <tableColumn id="4" name="unit_code"/>
    <tableColumn id="5" name="indicator_code"/>
    <tableColumn id="6" name="measurement_unit"/>
    <tableColumn id="7" name="direction"/>
    <tableColumn id="8" name="period_start"/>
    <tableColumn id="9" name="period_end"/>
    <tableColumn id="10" name="target_value"/>
    <tableColumn id="11" name="target_version"/>
    <tableColumn id="12" name="target_set_at"/>
    <tableColumn id="13" name="collected_at"/>
  </tableColumns>
  <tableStyleInfo name="TableStyleMedium2" showRowStripes="1"/>
</table>
</file>

<file path=xl/tables/table5.xml><?xml version="1.0" encoding="utf-8"?>
<table xmlns="http://schemas.openxmlformats.org/spreadsheetml/2006/main" id="5" name="T_KPI_Measurement" displayName="T_KPI_Measurement" ref="A1:J25" headerRowCount="1">
  <autoFilter ref="A1:J25"/>
  <tableColumns count="10">
    <tableColumn id="1" name="measurement_id"/>
    <tableColumn id="2" name="plan_id"/>
    <tableColumn id="3" name="unit_code"/>
    <tableColumn id="4" name="indicator_code"/>
    <tableColumn id="5" name="measured_at"/>
    <tableColumn id="6" name="measured_value"/>
    <tableColumn id="7" name="measurement_unit"/>
    <tableColumn id="8" name="evidence_ref"/>
    <tableColumn id="9" name="method_version"/>
    <tableColumn id="10" name="collected_at"/>
  </tableColumns>
  <tableStyleInfo name="TableStyleMedium2" showRowStripes="1"/>
</table>
</file>

<file path=xl/tables/table6.xml><?xml version="1.0" encoding="utf-8"?>
<table xmlns="http://schemas.openxmlformats.org/spreadsheetml/2006/main" id="6" name="T_KPI_Result" displayName="T_KPI_Result" ref="A1:S9" headerRowCount="1">
  <autoFilter ref="A1:S9"/>
  <tableColumns count="19">
    <tableColumn id="1" name="kpi_result_id"/>
    <tableColumn id="2" name="plan_id"/>
    <tableColumn id="3" name="goal_id"/>
    <tableColumn id="4" name="unit_code"/>
    <tableColumn id="5" name="indicator_code"/>
    <tableColumn id="6" name="period_start"/>
    <tableColumn id="7" name="period_end"/>
    <tableColumn id="8" name="measurement_unit"/>
    <tableColumn id="9" name="direction"/>
    <tableColumn id="10" name="aggregation"/>
    <tableColumn id="11" name="target_value"/>
    <tableColumn id="12" name="actual_value"/>
    <tableColumn id="13" name="sample_count"/>
    <tableColumn id="14" name="unfavourable_gap"/>
    <tableColumn id="15" name="achievement_ratio"/>
    <tableColumn id="16" name="result_status"/>
    <tableColumn id="17" name="reporting_status"/>
    <tableColumn id="18" name="collected_at"/>
    <tableColumn id="19" name="data_as_of_at"/>
  </tableColumns>
  <tableStyleInfo name="TableStyleMedium2" showRowStripes="1"/>
</table>
</file>

<file path=xl/tables/table7.xml><?xml version="1.0" encoding="utf-8"?>
<table xmlns="http://schemas.openxmlformats.org/spreadsheetml/2006/main" id="7" name="T_Action_Plan" displayName="T_Action_Plan" ref="A1:W2" headerRowCount="1">
  <autoFilter ref="A1:W2"/>
  <tableColumns count="23">
    <tableColumn id="1" name="action_id"/>
    <tableColumn id="2" name="source_sheet"/>
    <tableColumn id="3" name="source_record_id"/>
    <tableColumn id="4" name="unit_code"/>
    <tableColumn id="5" name="indicator_code"/>
    <tableColumn id="6" name="period_start"/>
    <tableColumn id="7" name="period_end"/>
    <tableColumn id="8" name="baseline_value"/>
    <tableColumn id="9" name="target_value"/>
    <tableColumn id="10" name="measurement_unit"/>
    <tableColumn id="11" name="finding"/>
    <tableColumn id="12" name="cause_hypothesis"/>
    <tableColumn id="13" name="cause_status"/>
    <tableColumn id="14" name="evidence_ref"/>
    <tableColumn id="15" name="action_description"/>
    <tableColumn id="16" name="owner_team_code"/>
    <tableColumn id="17" name="due_date"/>
    <tableColumn id="18" name="action_status"/>
    <tableColumn id="19" name="followup_start"/>
    <tableColumn id="20" name="followup_end"/>
    <tableColumn id="21" name="followup_value"/>
    <tableColumn id="22" name="verification_status"/>
    <tableColumn id="23" name="collected_a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5" customWidth="1" min="2" max="2"/>
  </cols>
  <sheetData>
    <row r="1" ht="32" customHeight="1">
      <c r="A1" s="1" t="inlineStr">
        <is>
          <t>bagian</t>
        </is>
      </c>
      <c r="B1" s="1" t="inlineStr">
        <is>
          <t>petunjuk</t>
        </is>
      </c>
    </row>
    <row r="2">
      <c r="A2" s="2" t="inlineStr">
        <is>
          <t>Peringatan</t>
        </is>
      </c>
      <c r="B2" s="2" t="inlineStr">
        <is>
          <t>SELURUH DATA DAN TARGET FIKTIF. Bukan data production, rekomendasi final atau bukti kausal.</t>
        </is>
      </c>
    </row>
    <row r="3">
      <c r="A3" s="2" t="inlineStr">
        <is>
          <t>Topik</t>
        </is>
      </c>
      <c r="B3" s="2" t="inlineStr">
        <is>
          <t>Goal, indikator, target, bukti pengukuran, arah KPI, gap dan evaluasi tindakan.</t>
        </is>
      </c>
    </row>
    <row r="4">
      <c r="A4" s="2" t="inlineStr">
        <is>
          <t>Batas interpretasi</t>
        </is>
      </c>
      <c r="B4" s="2" t="inlineStr">
        <is>
          <t>HIGHER dan LOWER memakai rumus berbeda; IDR, kasus, jam dan skor tidak boleh dijumlahkan bersama. Sampel 3 pengukuran hanya demonstrasi.</t>
        </is>
      </c>
    </row>
    <row r="5">
      <c r="A5" s="2" t="inlineStr">
        <is>
          <t>Impor Google Sheets</t>
        </is>
      </c>
      <c r="B5" s="2" t="inlineStr">
        <is>
          <t>Upload Excel ke Drive lalu buka/konversi sebagai Google Sheets. Periksa formula, tanggal dan jumlah baris sebelum onboarding.</t>
        </is>
      </c>
    </row>
    <row r="6">
      <c r="A6" s="2" t="inlineStr">
        <is>
          <t>Waktu</t>
        </is>
      </c>
      <c r="B6" s="2" t="inlineStr">
        <is>
          <t>Tanggal disimpan sebagai teks ISO yyyy-mm-dd: pilih date, parse_date_id, format TEXT, pola %Y-%m-%d. Timestamp teks ISO ber-offset: timestamptz.</t>
        </is>
      </c>
    </row>
    <row r="7">
      <c r="A7" s="2" t="inlineStr">
        <is>
          <t>Master</t>
        </is>
      </c>
      <c r="B7" s="2" t="inlineStr">
        <is>
          <t>Master bersama identik pada beberapa file: muat sekali ke Registry master, lalu gunakan kembali binding. Jangan menggandakan registry master yang sama.</t>
        </is>
      </c>
    </row>
    <row r="8">
      <c r="A8" s="2" t="inlineStr">
        <is>
          <t>Rekap</t>
        </is>
      </c>
      <c r="B8" s="2" t="inlineStr">
        <is>
          <t>Rekap/rataan/rasio utama ditautkan ke raw lewat formula dan cache. Recalculate setelah edit/impor, periksa jumlah baris, penyebut dan master. CSV berisi hasil numerik, bukan formula.</t>
        </is>
      </c>
    </row>
    <row r="9">
      <c r="A9" s="2" t="inlineStr">
        <is>
          <t>Klasifikasi</t>
        </is>
      </c>
      <c r="B9" s="2" t="inlineStr">
        <is>
          <t>Master_* = MASTER. Tab data/rekap/Action_Plan = NON_MASTER. BACA_DULU, Kamus_Data, Rencana_ETL = petunjuk, Dikecualikan dari ETL.</t>
        </is>
      </c>
    </row>
    <row r="10">
      <c r="A10" s="2" t="inlineStr">
        <is>
          <t>Action plan</t>
        </is>
      </c>
      <c r="B10" s="2" t="inlineStr">
        <is>
          <t>Baseline diambil dari record sumber; cause_status UNVERIFIED, follow-up kosong/NOT_EVALUATED. Verifikasi bukti dan pilih target bisnis sebelum tindakan.</t>
        </is>
      </c>
    </row>
    <row r="11">
      <c r="A11" s="2" t="inlineStr">
        <is>
          <t>Load</t>
        </is>
      </c>
      <c r="B11" s="2" t="inlineStr">
        <is>
          <t>Contoh memakai key unik dan saran UPSERT. Review grain, reference binding, tipe, DQ, metrik, access dan rilis sebelum deploy. Jangan upload contoh ke sumber production yang aktif.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55" customWidth="1" min="6" max="6"/>
    <col width="18" customWidth="1" min="7" max="7"/>
  </cols>
  <sheetData>
    <row r="1" ht="32" customHeight="1">
      <c r="A1" s="1" t="inlineStr">
        <is>
          <t>sheet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nullable</t>
        </is>
      </c>
      <c r="E1" s="1" t="inlineStr">
        <is>
          <t>business_key</t>
        </is>
      </c>
      <c r="F1" s="1" t="inlineStr">
        <is>
          <t>meaning</t>
        </is>
      </c>
      <c r="G1" s="1" t="inlineStr">
        <is>
          <t>example</t>
        </is>
      </c>
    </row>
    <row r="2">
      <c r="A2" s="2" t="inlineStr">
        <is>
          <t>Master_Unit</t>
        </is>
      </c>
      <c r="B2" s="2" t="inlineStr">
        <is>
          <t>unit_code</t>
        </is>
      </c>
      <c r="C2" s="2" t="inlineStr">
        <is>
          <t>text</t>
        </is>
      </c>
      <c r="D2" s="2" t="b">
        <v>0</v>
      </c>
      <c r="E2" s="2" t="b">
        <v>1</v>
      </c>
      <c r="F2" s="2" t="inlineStr">
        <is>
          <t>Identitas stabil sesuai grain.</t>
        </is>
      </c>
      <c r="G2" s="2" t="inlineStr">
        <is>
          <t>UNIT-CS</t>
        </is>
      </c>
    </row>
    <row r="3">
      <c r="A3" s="2" t="inlineStr">
        <is>
          <t>Master_Unit</t>
        </is>
      </c>
      <c r="B3" s="2" t="inlineStr">
        <is>
          <t>unit_label</t>
        </is>
      </c>
      <c r="C3" s="2" t="inlineStr">
        <is>
          <t>text</t>
        </is>
      </c>
      <c r="D3" s="2" t="b">
        <v>0</v>
      </c>
      <c r="E3" s="2" t="b">
        <v>0</v>
      </c>
      <c r="F3" s="2" t="inlineStr">
        <is>
          <t>Kode/label/atribut sesuai nama kolom dan grain; lihat Rencana_ETL serta definisi metrik. Jangan menjumlahkan rasio atau satuan berbeda.</t>
        </is>
      </c>
      <c r="G3" s="2" t="inlineStr">
        <is>
          <t>Layanan Pelanggan</t>
        </is>
      </c>
    </row>
    <row r="4">
      <c r="A4" s="2" t="inlineStr">
        <is>
          <t>Master_Unit</t>
        </is>
      </c>
      <c r="B4" s="2" t="inlineStr">
        <is>
          <t>is_active</t>
        </is>
      </c>
      <c r="C4" s="2" t="inlineStr">
        <is>
          <t>boolean</t>
        </is>
      </c>
      <c r="D4" s="2" t="b">
        <v>0</v>
      </c>
      <c r="E4" s="2" t="b">
        <v>0</v>
      </c>
      <c r="F4" s="2" t="inlineStr">
        <is>
          <t>Kode/label/atribut sesuai nama kolom dan grain; lihat Rencana_ETL serta definisi metrik. Jangan menjumlahkan rasio atau satuan berbeda.</t>
        </is>
      </c>
      <c r="G4" s="2" t="inlineStr">
        <is>
          <t>True</t>
        </is>
      </c>
    </row>
    <row r="5">
      <c r="A5" s="2" t="inlineStr">
        <is>
          <t>Master_Tim</t>
        </is>
      </c>
      <c r="B5" s="2" t="inlineStr">
        <is>
          <t>owner_team_code</t>
        </is>
      </c>
      <c r="C5" s="2" t="inlineStr">
        <is>
          <t>text</t>
        </is>
      </c>
      <c r="D5" s="2" t="b">
        <v>0</v>
      </c>
      <c r="E5" s="2" t="b">
        <v>1</v>
      </c>
      <c r="F5" s="2" t="inlineStr">
        <is>
          <t>Identitas stabil sesuai grain.</t>
        </is>
      </c>
      <c r="G5" s="2" t="inlineStr">
        <is>
          <t>TEAM-CS</t>
        </is>
      </c>
    </row>
    <row r="6">
      <c r="A6" s="2" t="inlineStr">
        <is>
          <t>Master_Tim</t>
        </is>
      </c>
      <c r="B6" s="2" t="inlineStr">
        <is>
          <t>team_label</t>
        </is>
      </c>
      <c r="C6" s="2" t="inlineStr">
        <is>
          <t>text</t>
        </is>
      </c>
      <c r="D6" s="2" t="b">
        <v>0</v>
      </c>
      <c r="E6" s="2" t="b">
        <v>0</v>
      </c>
      <c r="F6" s="2" t="inlineStr">
        <is>
          <t>Kode/label/atribut sesuai nama kolom dan grain; lihat Rencana_ETL serta definisi metrik. Jangan menjumlahkan rasio atau satuan berbeda.</t>
        </is>
      </c>
      <c r="G6" s="2" t="inlineStr">
        <is>
          <t>Tim Layanan</t>
        </is>
      </c>
    </row>
    <row r="7">
      <c r="A7" s="2" t="inlineStr">
        <is>
          <t>Master_Tim</t>
        </is>
      </c>
      <c r="B7" s="2" t="inlineStr">
        <is>
          <t>unit_code</t>
        </is>
      </c>
      <c r="C7" s="2" t="inlineStr">
        <is>
          <t>text</t>
        </is>
      </c>
      <c r="D7" s="2" t="b">
        <v>0</v>
      </c>
      <c r="E7" s="2" t="b">
        <v>0</v>
      </c>
      <c r="F7" s="2" t="inlineStr">
        <is>
          <t>Kode/label/atribut sesuai nama kolom dan grain; lihat Rencana_ETL serta definisi metrik. Jangan menjumlahkan rasio atau satuan berbeda.</t>
        </is>
      </c>
      <c r="G7" s="2" t="inlineStr">
        <is>
          <t>UNIT-CS</t>
        </is>
      </c>
    </row>
    <row r="8">
      <c r="A8" s="2" t="inlineStr">
        <is>
          <t>Master_Indikator</t>
        </is>
      </c>
      <c r="B8" s="2" t="inlineStr">
        <is>
          <t>indicator_code</t>
        </is>
      </c>
      <c r="C8" s="2" t="inlineStr">
        <is>
          <t>text</t>
        </is>
      </c>
      <c r="D8" s="2" t="b">
        <v>0</v>
      </c>
      <c r="E8" s="2" t="b">
        <v>1</v>
      </c>
      <c r="F8" s="2" t="inlineStr">
        <is>
          <t>Identitas stabil sesuai grain.</t>
        </is>
      </c>
      <c r="G8" s="2" t="inlineStr">
        <is>
          <t>REVENUE</t>
        </is>
      </c>
    </row>
    <row r="9">
      <c r="A9" s="2" t="inlineStr">
        <is>
          <t>Master_Indikator</t>
        </is>
      </c>
      <c r="B9" s="2" t="inlineStr">
        <is>
          <t>indicator_label</t>
        </is>
      </c>
      <c r="C9" s="2" t="inlineStr">
        <is>
          <t>text</t>
        </is>
      </c>
      <c r="D9" s="2" t="b">
        <v>0</v>
      </c>
      <c r="E9" s="2" t="b">
        <v>0</v>
      </c>
      <c r="F9" s="2" t="inlineStr">
        <is>
          <t>Kode/label/atribut sesuai nama kolom dan grain; lihat Rencana_ETL serta definisi metrik. Jangan menjumlahkan rasio atau satuan berbeda.</t>
        </is>
      </c>
      <c r="G9" s="2" t="inlineStr">
        <is>
          <t>Pendapatan tercatat</t>
        </is>
      </c>
    </row>
    <row r="10">
      <c r="A10" s="2" t="inlineStr">
        <is>
          <t>Master_Indikator</t>
        </is>
      </c>
      <c r="B10" s="2" t="inlineStr">
        <is>
          <t>measurement_unit</t>
        </is>
      </c>
      <c r="C10" s="2" t="inlineStr">
        <is>
          <t>text</t>
        </is>
      </c>
      <c r="D10" s="2" t="b">
        <v>0</v>
      </c>
      <c r="E10" s="2" t="b">
        <v>0</v>
      </c>
      <c r="F10" s="2" t="inlineStr">
        <is>
          <t>Kode/label/atribut sesuai nama kolom dan grain; lihat Rencana_ETL serta definisi metrik. Jangan menjumlahkan rasio atau satuan berbeda.</t>
        </is>
      </c>
      <c r="G10" s="2" t="inlineStr">
        <is>
          <t>IDR</t>
        </is>
      </c>
    </row>
    <row r="11">
      <c r="A11" s="2" t="inlineStr">
        <is>
          <t>Master_Indikator</t>
        </is>
      </c>
      <c r="B11" s="2" t="inlineStr">
        <is>
          <t>direction</t>
        </is>
      </c>
      <c r="C11" s="2" t="inlineStr">
        <is>
          <t>text</t>
        </is>
      </c>
      <c r="D11" s="2" t="b">
        <v>0</v>
      </c>
      <c r="E11" s="2" t="b">
        <v>0</v>
      </c>
      <c r="F11" s="2" t="inlineStr">
        <is>
          <t>HIGHER_IS_BETTER atau LOWER_IS_BETTER menentukan arah evaluasi.</t>
        </is>
      </c>
      <c r="G11" s="2" t="inlineStr">
        <is>
          <t>HIGHER_IS_BETTER</t>
        </is>
      </c>
    </row>
    <row r="12">
      <c r="A12" s="2" t="inlineStr">
        <is>
          <t>Master_Indikator</t>
        </is>
      </c>
      <c r="B12" s="2" t="inlineStr">
        <is>
          <t>aggregation</t>
        </is>
      </c>
      <c r="C12" s="2" t="inlineStr">
        <is>
          <t>text</t>
        </is>
      </c>
      <c r="D12" s="2" t="b">
        <v>0</v>
      </c>
      <c r="E12" s="2" t="b">
        <v>0</v>
      </c>
      <c r="F12" s="2" t="inlineStr">
        <is>
          <t>Kode/label/atribut sesuai nama kolom dan grain; lihat Rencana_ETL serta definisi metrik. Jangan menjumlahkan rasio atau satuan berbeda.</t>
        </is>
      </c>
      <c r="G12" s="2" t="inlineStr">
        <is>
          <t>SUM</t>
        </is>
      </c>
    </row>
    <row r="13">
      <c r="A13" s="2" t="inlineStr">
        <is>
          <t>Master_Indikator</t>
        </is>
      </c>
      <c r="B13" s="2" t="inlineStr">
        <is>
          <t>definition</t>
        </is>
      </c>
      <c r="C13" s="2" t="inlineStr">
        <is>
          <t>text</t>
        </is>
      </c>
      <c r="D13" s="2" t="b">
        <v>0</v>
      </c>
      <c r="E13" s="2" t="b">
        <v>0</v>
      </c>
      <c r="F13" s="2" t="inlineStr">
        <is>
          <t>Kode/label/atribut sesuai nama kolom dan grain; lihat Rencana_ETL serta definisi metrik. Jangan menjumlahkan rasio atau satuan berbeda.</t>
        </is>
      </c>
      <c r="G13" s="2" t="inlineStr">
        <is>
          <t>Jumlah pendapatan tercatat pada periode.</t>
        </is>
      </c>
    </row>
    <row r="14">
      <c r="A14" s="2" t="inlineStr">
        <is>
          <t>KPI_Plan</t>
        </is>
      </c>
      <c r="B14" s="2" t="inlineStr">
        <is>
          <t>plan_id</t>
        </is>
      </c>
      <c r="C14" s="2" t="inlineStr">
        <is>
          <t>text</t>
        </is>
      </c>
      <c r="D14" s="2" t="b">
        <v>0</v>
      </c>
      <c r="E14" s="2" t="b">
        <v>1</v>
      </c>
      <c r="F14" s="2" t="inlineStr">
        <is>
          <t>Identitas stabil sesuai grain.</t>
        </is>
      </c>
      <c r="G14" s="2" t="inlineStr">
        <is>
          <t>PLAN-1-REVENUE</t>
        </is>
      </c>
    </row>
    <row r="15">
      <c r="A15" s="2" t="inlineStr">
        <is>
          <t>KPI_Plan</t>
        </is>
      </c>
      <c r="B15" s="2" t="inlineStr">
        <is>
          <t>goal_id</t>
        </is>
      </c>
      <c r="C15" s="2" t="inlineStr">
        <is>
          <t>text</t>
        </is>
      </c>
      <c r="D15" s="2" t="b">
        <v>0</v>
      </c>
      <c r="E15" s="2" t="b">
        <v>0</v>
      </c>
      <c r="F15" s="2" t="inlineStr">
        <is>
          <t>Kode/label/atribut sesuai nama kolom dan grain; lihat Rencana_ETL serta definisi metrik. Jangan menjumlahkan rasio atau satuan berbeda.</t>
        </is>
      </c>
      <c r="G15" s="2" t="inlineStr">
        <is>
          <t>GOAL-EXPERIENCE-2026</t>
        </is>
      </c>
    </row>
    <row r="16">
      <c r="A16" s="2" t="inlineStr">
        <is>
          <t>KPI_Plan</t>
        </is>
      </c>
      <c r="B16" s="2" t="inlineStr">
        <is>
          <t>goal_description</t>
        </is>
      </c>
      <c r="C16" s="2" t="inlineStr">
        <is>
          <t>text</t>
        </is>
      </c>
      <c r="D16" s="2" t="b">
        <v>0</v>
      </c>
      <c r="E16" s="2" t="b">
        <v>0</v>
      </c>
      <c r="F16" s="2" t="inlineStr">
        <is>
          <t>Kode/label/atribut sesuai nama kolom dan grain; lihat Rencana_ETL serta definisi metrik. Jangan menjumlahkan rasio atau satuan berbeda.</t>
        </is>
      </c>
      <c r="G16" s="2" t="inlineStr">
        <is>
          <t>Tingkatkan kinerja bisnis terukur sesuai indikator</t>
        </is>
      </c>
    </row>
    <row r="17">
      <c r="A17" s="2" t="inlineStr">
        <is>
          <t>KPI_Plan</t>
        </is>
      </c>
      <c r="B17" s="2" t="inlineStr">
        <is>
          <t>unit_code</t>
        </is>
      </c>
      <c r="C17" s="2" t="inlineStr">
        <is>
          <t>text</t>
        </is>
      </c>
      <c r="D17" s="2" t="b">
        <v>0</v>
      </c>
      <c r="E17" s="2" t="b">
        <v>0</v>
      </c>
      <c r="F17" s="2" t="inlineStr">
        <is>
          <t>Kode/label/atribut sesuai nama kolom dan grain; lihat Rencana_ETL serta definisi metrik. Jangan menjumlahkan rasio atau satuan berbeda.</t>
        </is>
      </c>
      <c r="G17" s="2" t="inlineStr">
        <is>
          <t>UNIT-MKT</t>
        </is>
      </c>
    </row>
    <row r="18">
      <c r="A18" s="2" t="inlineStr">
        <is>
          <t>KPI_Plan</t>
        </is>
      </c>
      <c r="B18" s="2" t="inlineStr">
        <is>
          <t>indicator_code</t>
        </is>
      </c>
      <c r="C18" s="2" t="inlineStr">
        <is>
          <t>text</t>
        </is>
      </c>
      <c r="D18" s="2" t="b">
        <v>0</v>
      </c>
      <c r="E18" s="2" t="b">
        <v>0</v>
      </c>
      <c r="F18" s="2" t="inlineStr">
        <is>
          <t>Kode/label/atribut sesuai nama kolom dan grain; lihat Rencana_ETL serta definisi metrik. Jangan menjumlahkan rasio atau satuan berbeda.</t>
        </is>
      </c>
      <c r="G18" s="2" t="inlineStr">
        <is>
          <t>REVENUE</t>
        </is>
      </c>
    </row>
    <row r="19">
      <c r="A19" s="2" t="inlineStr">
        <is>
          <t>KPI_Plan</t>
        </is>
      </c>
      <c r="B19" s="2" t="inlineStr">
        <is>
          <t>measurement_unit</t>
        </is>
      </c>
      <c r="C19" s="2" t="inlineStr">
        <is>
          <t>text</t>
        </is>
      </c>
      <c r="D19" s="2" t="b">
        <v>0</v>
      </c>
      <c r="E19" s="2" t="b">
        <v>0</v>
      </c>
      <c r="F19" s="2" t="inlineStr">
        <is>
          <t>Kode/label/atribut sesuai nama kolom dan grain; lihat Rencana_ETL serta definisi metrik. Jangan menjumlahkan rasio atau satuan berbeda.</t>
        </is>
      </c>
      <c r="G19" s="2" t="inlineStr">
        <is>
          <t>IDR</t>
        </is>
      </c>
    </row>
    <row r="20">
      <c r="A20" s="2" t="inlineStr">
        <is>
          <t>KPI_Plan</t>
        </is>
      </c>
      <c r="B20" s="2" t="inlineStr">
        <is>
          <t>direction</t>
        </is>
      </c>
      <c r="C20" s="2" t="inlineStr">
        <is>
          <t>text</t>
        </is>
      </c>
      <c r="D20" s="2" t="b">
        <v>0</v>
      </c>
      <c r="E20" s="2" t="b">
        <v>0</v>
      </c>
      <c r="F20" s="2" t="inlineStr">
        <is>
          <t>HIGHER_IS_BETTER atau LOWER_IS_BETTER menentukan arah evaluasi.</t>
        </is>
      </c>
      <c r="G20" s="2" t="inlineStr">
        <is>
          <t>HIGHER_IS_BETTER</t>
        </is>
      </c>
    </row>
    <row r="21">
      <c r="A21" s="2" t="inlineStr">
        <is>
          <t>KPI_Plan</t>
        </is>
      </c>
      <c r="B21" s="2" t="inlineStr">
        <is>
          <t>period_start</t>
        </is>
      </c>
      <c r="C21" s="2" t="inlineStr">
        <is>
          <t>date</t>
        </is>
      </c>
      <c r="D21" s="2" t="b">
        <v>0</v>
      </c>
      <c r="E21" s="2" t="b">
        <v>0</v>
      </c>
      <c r="F21" s="2" t="inlineStr">
        <is>
          <t>Tanggal pertama periode bisnis yang dicakup; teks ISO yyyy-mm-dd.</t>
        </is>
      </c>
      <c r="G21" s="2" t="inlineStr">
        <is>
          <t>2026-01-01</t>
        </is>
      </c>
    </row>
    <row r="22">
      <c r="A22" s="2" t="inlineStr">
        <is>
          <t>KPI_Plan</t>
        </is>
      </c>
      <c r="B22" s="2" t="inlineStr">
        <is>
          <t>period_end</t>
        </is>
      </c>
      <c r="C22" s="2" t="inlineStr">
        <is>
          <t>date</t>
        </is>
      </c>
      <c r="D22" s="2" t="b">
        <v>0</v>
      </c>
      <c r="E22" s="2" t="b">
        <v>0</v>
      </c>
      <c r="F22" s="2" t="inlineStr">
        <is>
          <t>Tanggal terakhir periode bisnis yang dicakup, inklusif; bukan tanggal pengambilan.</t>
        </is>
      </c>
      <c r="G22" s="2" t="inlineStr">
        <is>
          <t>2026-01-31</t>
        </is>
      </c>
    </row>
    <row r="23">
      <c r="A23" s="2" t="inlineStr">
        <is>
          <t>KPI_Plan</t>
        </is>
      </c>
      <c r="B23" s="2" t="inlineStr">
        <is>
          <t>target_value</t>
        </is>
      </c>
      <c r="C23" s="2" t="inlineStr">
        <is>
          <t>numeric</t>
        </is>
      </c>
      <c r="D23" s="2" t="b">
        <v>0</v>
      </c>
      <c r="E23" s="2" t="b">
        <v>0</v>
      </c>
      <c r="F23" s="2" t="inlineStr">
        <is>
          <t>Target yang disetujui pada satuan dan arah indikator; target contoh harus diganti/direview.</t>
        </is>
      </c>
      <c r="G23" s="2" t="inlineStr">
        <is>
          <t>3000000</t>
        </is>
      </c>
    </row>
    <row r="24">
      <c r="A24" s="2" t="inlineStr">
        <is>
          <t>KPI_Plan</t>
        </is>
      </c>
      <c r="B24" s="2" t="inlineStr">
        <is>
          <t>target_version</t>
        </is>
      </c>
      <c r="C24" s="2" t="inlineStr">
        <is>
          <t>text</t>
        </is>
      </c>
      <c r="D24" s="2" t="b">
        <v>0</v>
      </c>
      <c r="E24" s="2" t="b">
        <v>0</v>
      </c>
      <c r="F24" s="2" t="inlineStr">
        <is>
          <t>Kode/label/atribut sesuai nama kolom dan grain; lihat Rencana_ETL serta definisi metrik. Jangan menjumlahkan rasio atau satuan berbeda.</t>
        </is>
      </c>
      <c r="G24" s="2" t="inlineStr">
        <is>
          <t>TARGET-V1-FICTITIOUS</t>
        </is>
      </c>
    </row>
    <row r="25">
      <c r="A25" s="2" t="inlineStr">
        <is>
          <t>KPI_Plan</t>
        </is>
      </c>
      <c r="B25" s="2" t="inlineStr">
        <is>
          <t>target_set_at</t>
        </is>
      </c>
      <c r="C25" s="2" t="inlineStr">
        <is>
          <t>timestamptz</t>
        </is>
      </c>
      <c r="D25" s="2" t="b">
        <v>0</v>
      </c>
      <c r="E25" s="2" t="b">
        <v>0</v>
      </c>
      <c r="F25" s="2" t="inlineStr">
        <is>
          <t>Kode/label/atribut sesuai nama kolom dan grain; lihat Rencana_ETL serta definisi metrik. Jangan menjumlahkan rasio atau satuan berbeda.</t>
        </is>
      </c>
      <c r="G25" s="2" t="inlineStr">
        <is>
          <t>2025-12-15T09:00:00+07:00</t>
        </is>
      </c>
    </row>
    <row r="26">
      <c r="A26" s="2" t="inlineStr">
        <is>
          <t>KPI_Plan</t>
        </is>
      </c>
      <c r="B26" s="2" t="inlineStr">
        <is>
          <t>collected_at</t>
        </is>
      </c>
      <c r="C26" s="2" t="inlineStr">
        <is>
          <t>timestamptz</t>
        </is>
      </c>
      <c r="D26" s="2" t="b">
        <v>0</v>
      </c>
      <c r="E26" s="2" t="b">
        <v>0</v>
      </c>
      <c r="F26" s="2" t="inlineStr">
        <is>
          <t>Waktu pengambilan, bukan periode bisnis.</t>
        </is>
      </c>
      <c r="G26" s="2" t="inlineStr">
        <is>
          <t>2026-03-03T09:00:00+07:00</t>
        </is>
      </c>
    </row>
    <row r="27">
      <c r="A27" s="2" t="inlineStr">
        <is>
          <t>KPI_Measurement</t>
        </is>
      </c>
      <c r="B27" s="2" t="inlineStr">
        <is>
          <t>measurement_id</t>
        </is>
      </c>
      <c r="C27" s="2" t="inlineStr">
        <is>
          <t>text</t>
        </is>
      </c>
      <c r="D27" s="2" t="b">
        <v>0</v>
      </c>
      <c r="E27" s="2" t="b">
        <v>1</v>
      </c>
      <c r="F27" s="2" t="inlineStr">
        <is>
          <t>Identitas stabil sesuai grain.</t>
        </is>
      </c>
      <c r="G27" s="2" t="inlineStr">
        <is>
          <t>MEAS-1-0-0</t>
        </is>
      </c>
    </row>
    <row r="28">
      <c r="A28" s="2" t="inlineStr">
        <is>
          <t>KPI_Measurement</t>
        </is>
      </c>
      <c r="B28" s="2" t="inlineStr">
        <is>
          <t>plan_id</t>
        </is>
      </c>
      <c r="C28" s="2" t="inlineStr">
        <is>
          <t>text</t>
        </is>
      </c>
      <c r="D28" s="2" t="b">
        <v>0</v>
      </c>
      <c r="E28" s="2" t="b">
        <v>0</v>
      </c>
      <c r="F28" s="2" t="inlineStr">
        <is>
          <t>Kode/label/atribut sesuai nama kolom dan grain; lihat Rencana_ETL serta definisi metrik. Jangan menjumlahkan rasio atau satuan berbeda.</t>
        </is>
      </c>
      <c r="G28" s="2" t="inlineStr">
        <is>
          <t>PLAN-1-REVENUE</t>
        </is>
      </c>
    </row>
    <row r="29">
      <c r="A29" s="2" t="inlineStr">
        <is>
          <t>KPI_Measurement</t>
        </is>
      </c>
      <c r="B29" s="2" t="inlineStr">
        <is>
          <t>unit_code</t>
        </is>
      </c>
      <c r="C29" s="2" t="inlineStr">
        <is>
          <t>text</t>
        </is>
      </c>
      <c r="D29" s="2" t="b">
        <v>0</v>
      </c>
      <c r="E29" s="2" t="b">
        <v>0</v>
      </c>
      <c r="F29" s="2" t="inlineStr">
        <is>
          <t>Kode/label/atribut sesuai nama kolom dan grain; lihat Rencana_ETL serta definisi metrik. Jangan menjumlahkan rasio atau satuan berbeda.</t>
        </is>
      </c>
      <c r="G29" s="2" t="inlineStr">
        <is>
          <t>UNIT-MKT</t>
        </is>
      </c>
    </row>
    <row r="30">
      <c r="A30" s="2" t="inlineStr">
        <is>
          <t>KPI_Measurement</t>
        </is>
      </c>
      <c r="B30" s="2" t="inlineStr">
        <is>
          <t>indicator_code</t>
        </is>
      </c>
      <c r="C30" s="2" t="inlineStr">
        <is>
          <t>text</t>
        </is>
      </c>
      <c r="D30" s="2" t="b">
        <v>0</v>
      </c>
      <c r="E30" s="2" t="b">
        <v>0</v>
      </c>
      <c r="F30" s="2" t="inlineStr">
        <is>
          <t>Kode/label/atribut sesuai nama kolom dan grain; lihat Rencana_ETL serta definisi metrik. Jangan menjumlahkan rasio atau satuan berbeda.</t>
        </is>
      </c>
      <c r="G30" s="2" t="inlineStr">
        <is>
          <t>REVENUE</t>
        </is>
      </c>
    </row>
    <row r="31">
      <c r="A31" s="2" t="inlineStr">
        <is>
          <t>KPI_Measurement</t>
        </is>
      </c>
      <c r="B31" s="2" t="inlineStr">
        <is>
          <t>measured_at</t>
        </is>
      </c>
      <c r="C31" s="2" t="inlineStr">
        <is>
          <t>timestamptz</t>
        </is>
      </c>
      <c r="D31" s="2" t="b">
        <v>0</v>
      </c>
      <c r="E31" s="2" t="b">
        <v>0</v>
      </c>
      <c r="F31" s="2" t="inlineStr">
        <is>
          <t>Kode/label/atribut sesuai nama kolom dan grain; lihat Rencana_ETL serta definisi metrik. Jangan menjumlahkan rasio atau satuan berbeda.</t>
        </is>
      </c>
      <c r="G31" s="2" t="inlineStr">
        <is>
          <t>2026-01-12T09:00:00+07:00</t>
        </is>
      </c>
    </row>
    <row r="32">
      <c r="A32" s="2" t="inlineStr">
        <is>
          <t>KPI_Measurement</t>
        </is>
      </c>
      <c r="B32" s="2" t="inlineStr">
        <is>
          <t>measured_value</t>
        </is>
      </c>
      <c r="C32" s="2" t="inlineStr">
        <is>
          <t>numeric</t>
        </is>
      </c>
      <c r="D32" s="2" t="b">
        <v>0</v>
      </c>
      <c r="E32" s="2" t="b">
        <v>0</v>
      </c>
      <c r="F32" s="2" t="inlineStr">
        <is>
          <t>Kode/label/atribut sesuai nama kolom dan grain; lihat Rencana_ETL serta definisi metrik. Jangan menjumlahkan rasio atau satuan berbeda.</t>
        </is>
      </c>
      <c r="G32" s="2" t="inlineStr">
        <is>
          <t>700000</t>
        </is>
      </c>
    </row>
    <row r="33">
      <c r="A33" s="2" t="inlineStr">
        <is>
          <t>KPI_Measurement</t>
        </is>
      </c>
      <c r="B33" s="2" t="inlineStr">
        <is>
          <t>measurement_unit</t>
        </is>
      </c>
      <c r="C33" s="2" t="inlineStr">
        <is>
          <t>text</t>
        </is>
      </c>
      <c r="D33" s="2" t="b">
        <v>0</v>
      </c>
      <c r="E33" s="2" t="b">
        <v>0</v>
      </c>
      <c r="F33" s="2" t="inlineStr">
        <is>
          <t>Kode/label/atribut sesuai nama kolom dan grain; lihat Rencana_ETL serta definisi metrik. Jangan menjumlahkan rasio atau satuan berbeda.</t>
        </is>
      </c>
      <c r="G33" s="2" t="inlineStr">
        <is>
          <t>IDR</t>
        </is>
      </c>
    </row>
    <row r="34">
      <c r="A34" s="2" t="inlineStr">
        <is>
          <t>KPI_Measurement</t>
        </is>
      </c>
      <c r="B34" s="2" t="inlineStr">
        <is>
          <t>evidence_ref</t>
        </is>
      </c>
      <c r="C34" s="2" t="inlineStr">
        <is>
          <t>text</t>
        </is>
      </c>
      <c r="D34" s="2" t="b">
        <v>0</v>
      </c>
      <c r="E34" s="2" t="b">
        <v>0</v>
      </c>
      <c r="F34" s="2" t="inlineStr">
        <is>
          <t>Referensi bukti simulasi; ganti dengan bukti nyata yang aksesnya sesuai.</t>
        </is>
      </c>
      <c r="G34" s="2" t="inlineStr">
        <is>
          <t>SIMULASI-MEAS-1-0-0</t>
        </is>
      </c>
    </row>
    <row r="35">
      <c r="A35" s="2" t="inlineStr">
        <is>
          <t>KPI_Measurement</t>
        </is>
      </c>
      <c r="B35" s="2" t="inlineStr">
        <is>
          <t>method_version</t>
        </is>
      </c>
      <c r="C35" s="2" t="inlineStr">
        <is>
          <t>text</t>
        </is>
      </c>
      <c r="D35" s="2" t="b">
        <v>0</v>
      </c>
      <c r="E35" s="2" t="b">
        <v>0</v>
      </c>
      <c r="F35" s="2" t="inlineStr">
        <is>
          <t>Kode/label/atribut sesuai nama kolom dan grain; lihat Rencana_ETL serta definisi metrik. Jangan menjumlahkan rasio atau satuan berbeda.</t>
        </is>
      </c>
      <c r="G35" s="2" t="inlineStr">
        <is>
          <t>METHOD-V1</t>
        </is>
      </c>
    </row>
    <row r="36">
      <c r="A36" s="2" t="inlineStr">
        <is>
          <t>KPI_Measurement</t>
        </is>
      </c>
      <c r="B36" s="2" t="inlineStr">
        <is>
          <t>collected_at</t>
        </is>
      </c>
      <c r="C36" s="2" t="inlineStr">
        <is>
          <t>timestamptz</t>
        </is>
      </c>
      <c r="D36" s="2" t="b">
        <v>0</v>
      </c>
      <c r="E36" s="2" t="b">
        <v>0</v>
      </c>
      <c r="F36" s="2" t="inlineStr">
        <is>
          <t>Waktu pengambilan, bukan periode bisnis.</t>
        </is>
      </c>
      <c r="G36" s="2" t="inlineStr">
        <is>
          <t>2026-03-03T09:00:00+07:00</t>
        </is>
      </c>
    </row>
    <row r="37">
      <c r="A37" s="2" t="inlineStr">
        <is>
          <t>KPI_Result</t>
        </is>
      </c>
      <c r="B37" s="2" t="inlineStr">
        <is>
          <t>kpi_result_id</t>
        </is>
      </c>
      <c r="C37" s="2" t="inlineStr">
        <is>
          <t>text</t>
        </is>
      </c>
      <c r="D37" s="2" t="b">
        <v>0</v>
      </c>
      <c r="E37" s="2" t="b">
        <v>1</v>
      </c>
      <c r="F37" s="2" t="inlineStr">
        <is>
          <t>Identitas stabil sesuai grain.</t>
        </is>
      </c>
      <c r="G37" s="2" t="inlineStr">
        <is>
          <t>RESULT-1-REVENUE</t>
        </is>
      </c>
    </row>
    <row r="38">
      <c r="A38" s="2" t="inlineStr">
        <is>
          <t>KPI_Result</t>
        </is>
      </c>
      <c r="B38" s="2" t="inlineStr">
        <is>
          <t>plan_id</t>
        </is>
      </c>
      <c r="C38" s="2" t="inlineStr">
        <is>
          <t>text</t>
        </is>
      </c>
      <c r="D38" s="2" t="b">
        <v>0</v>
      </c>
      <c r="E38" s="2" t="b">
        <v>0</v>
      </c>
      <c r="F38" s="2" t="inlineStr">
        <is>
          <t>Kode/label/atribut sesuai nama kolom dan grain; lihat Rencana_ETL serta definisi metrik. Jangan menjumlahkan rasio atau satuan berbeda.</t>
        </is>
      </c>
      <c r="G38" s="2" t="inlineStr">
        <is>
          <t>PLAN-1-REVENUE</t>
        </is>
      </c>
    </row>
    <row r="39">
      <c r="A39" s="2" t="inlineStr">
        <is>
          <t>KPI_Result</t>
        </is>
      </c>
      <c r="B39" s="2" t="inlineStr">
        <is>
          <t>goal_id</t>
        </is>
      </c>
      <c r="C39" s="2" t="inlineStr">
        <is>
          <t>text</t>
        </is>
      </c>
      <c r="D39" s="2" t="b">
        <v>0</v>
      </c>
      <c r="E39" s="2" t="b">
        <v>0</v>
      </c>
      <c r="F39" s="2" t="inlineStr">
        <is>
          <t>Kode/label/atribut sesuai nama kolom dan grain; lihat Rencana_ETL serta definisi metrik. Jangan menjumlahkan rasio atau satuan berbeda.</t>
        </is>
      </c>
      <c r="G39" s="2" t="inlineStr">
        <is>
          <t>GOAL-EXPERIENCE-2026</t>
        </is>
      </c>
    </row>
    <row r="40">
      <c r="A40" s="2" t="inlineStr">
        <is>
          <t>KPI_Result</t>
        </is>
      </c>
      <c r="B40" s="2" t="inlineStr">
        <is>
          <t>unit_code</t>
        </is>
      </c>
      <c r="C40" s="2" t="inlineStr">
        <is>
          <t>text</t>
        </is>
      </c>
      <c r="D40" s="2" t="b">
        <v>0</v>
      </c>
      <c r="E40" s="2" t="b">
        <v>0</v>
      </c>
      <c r="F40" s="2" t="inlineStr">
        <is>
          <t>Kode/label/atribut sesuai nama kolom dan grain; lihat Rencana_ETL serta definisi metrik. Jangan menjumlahkan rasio atau satuan berbeda.</t>
        </is>
      </c>
      <c r="G40" s="2" t="inlineStr">
        <is>
          <t>UNIT-MKT</t>
        </is>
      </c>
    </row>
    <row r="41">
      <c r="A41" s="2" t="inlineStr">
        <is>
          <t>KPI_Result</t>
        </is>
      </c>
      <c r="B41" s="2" t="inlineStr">
        <is>
          <t>indicator_code</t>
        </is>
      </c>
      <c r="C41" s="2" t="inlineStr">
        <is>
          <t>text</t>
        </is>
      </c>
      <c r="D41" s="2" t="b">
        <v>0</v>
      </c>
      <c r="E41" s="2" t="b">
        <v>0</v>
      </c>
      <c r="F41" s="2" t="inlineStr">
        <is>
          <t>Kode/label/atribut sesuai nama kolom dan grain; lihat Rencana_ETL serta definisi metrik. Jangan menjumlahkan rasio atau satuan berbeda.</t>
        </is>
      </c>
      <c r="G41" s="2" t="inlineStr">
        <is>
          <t>REVENUE</t>
        </is>
      </c>
    </row>
    <row r="42">
      <c r="A42" s="2" t="inlineStr">
        <is>
          <t>KPI_Result</t>
        </is>
      </c>
      <c r="B42" s="2" t="inlineStr">
        <is>
          <t>period_start</t>
        </is>
      </c>
      <c r="C42" s="2" t="inlineStr">
        <is>
          <t>date</t>
        </is>
      </c>
      <c r="D42" s="2" t="b">
        <v>0</v>
      </c>
      <c r="E42" s="2" t="b">
        <v>0</v>
      </c>
      <c r="F42" s="2" t="inlineStr">
        <is>
          <t>Tanggal pertama periode bisnis yang dicakup; teks ISO yyyy-mm-dd.</t>
        </is>
      </c>
      <c r="G42" s="2" t="inlineStr">
        <is>
          <t>2026-01-01</t>
        </is>
      </c>
    </row>
    <row r="43">
      <c r="A43" s="2" t="inlineStr">
        <is>
          <t>KPI_Result</t>
        </is>
      </c>
      <c r="B43" s="2" t="inlineStr">
        <is>
          <t>period_end</t>
        </is>
      </c>
      <c r="C43" s="2" t="inlineStr">
        <is>
          <t>date</t>
        </is>
      </c>
      <c r="D43" s="2" t="b">
        <v>0</v>
      </c>
      <c r="E43" s="2" t="b">
        <v>0</v>
      </c>
      <c r="F43" s="2" t="inlineStr">
        <is>
          <t>Tanggal terakhir periode bisnis yang dicakup, inklusif; bukan tanggal pengambilan.</t>
        </is>
      </c>
      <c r="G43" s="2" t="inlineStr">
        <is>
          <t>2026-01-31</t>
        </is>
      </c>
    </row>
    <row r="44">
      <c r="A44" s="2" t="inlineStr">
        <is>
          <t>KPI_Result</t>
        </is>
      </c>
      <c r="B44" s="2" t="inlineStr">
        <is>
          <t>measurement_unit</t>
        </is>
      </c>
      <c r="C44" s="2" t="inlineStr">
        <is>
          <t>text</t>
        </is>
      </c>
      <c r="D44" s="2" t="b">
        <v>0</v>
      </c>
      <c r="E44" s="2" t="b">
        <v>0</v>
      </c>
      <c r="F44" s="2" t="inlineStr">
        <is>
          <t>Kode/label/atribut sesuai nama kolom dan grain; lihat Rencana_ETL serta definisi metrik. Jangan menjumlahkan rasio atau satuan berbeda.</t>
        </is>
      </c>
      <c r="G44" s="2" t="inlineStr">
        <is>
          <t>IDR</t>
        </is>
      </c>
    </row>
    <row r="45">
      <c r="A45" s="2" t="inlineStr">
        <is>
          <t>KPI_Result</t>
        </is>
      </c>
      <c r="B45" s="2" t="inlineStr">
        <is>
          <t>direction</t>
        </is>
      </c>
      <c r="C45" s="2" t="inlineStr">
        <is>
          <t>text</t>
        </is>
      </c>
      <c r="D45" s="2" t="b">
        <v>0</v>
      </c>
      <c r="E45" s="2" t="b">
        <v>0</v>
      </c>
      <c r="F45" s="2" t="inlineStr">
        <is>
          <t>HIGHER_IS_BETTER atau LOWER_IS_BETTER menentukan arah evaluasi.</t>
        </is>
      </c>
      <c r="G45" s="2" t="inlineStr">
        <is>
          <t>HIGHER_IS_BETTER</t>
        </is>
      </c>
    </row>
    <row r="46">
      <c r="A46" s="2" t="inlineStr">
        <is>
          <t>KPI_Result</t>
        </is>
      </c>
      <c r="B46" s="2" t="inlineStr">
        <is>
          <t>aggregation</t>
        </is>
      </c>
      <c r="C46" s="2" t="inlineStr">
        <is>
          <t>text</t>
        </is>
      </c>
      <c r="D46" s="2" t="b">
        <v>0</v>
      </c>
      <c r="E46" s="2" t="b">
        <v>0</v>
      </c>
      <c r="F46" s="2" t="inlineStr">
        <is>
          <t>Kode/label/atribut sesuai nama kolom dan grain; lihat Rencana_ETL serta definisi metrik. Jangan menjumlahkan rasio atau satuan berbeda.</t>
        </is>
      </c>
      <c r="G46" s="2" t="inlineStr">
        <is>
          <t>SUM</t>
        </is>
      </c>
    </row>
    <row r="47">
      <c r="A47" s="2" t="inlineStr">
        <is>
          <t>KPI_Result</t>
        </is>
      </c>
      <c r="B47" s="2" t="inlineStr">
        <is>
          <t>target_value</t>
        </is>
      </c>
      <c r="C47" s="2" t="inlineStr">
        <is>
          <t>numeric</t>
        </is>
      </c>
      <c r="D47" s="2" t="b">
        <v>0</v>
      </c>
      <c r="E47" s="2" t="b">
        <v>0</v>
      </c>
      <c r="F47" s="2" t="inlineStr">
        <is>
          <t>Target yang disetujui pada satuan dan arah indikator; target contoh harus diganti/direview.</t>
        </is>
      </c>
      <c r="G47" s="2" t="inlineStr">
        <is>
          <t>3000000</t>
        </is>
      </c>
    </row>
    <row r="48">
      <c r="A48" s="2" t="inlineStr">
        <is>
          <t>KPI_Result</t>
        </is>
      </c>
      <c r="B48" s="2" t="inlineStr">
        <is>
          <t>actual_value</t>
        </is>
      </c>
      <c r="C48" s="2" t="inlineStr">
        <is>
          <t>numeric</t>
        </is>
      </c>
      <c r="D48" s="2" t="b">
        <v>0</v>
      </c>
      <c r="E48" s="2" t="b">
        <v>0</v>
      </c>
      <c r="F48" s="2" t="inlineStr">
        <is>
          <t>SUM/AVG bukti pengukuran mengikuti definisi indikator; jangan gabungkan satuan berbeda.</t>
        </is>
      </c>
      <c r="G48" s="2" t="inlineStr">
        <is>
          <t>2400000</t>
        </is>
      </c>
    </row>
    <row r="49">
      <c r="A49" s="2" t="inlineStr">
        <is>
          <t>KPI_Result</t>
        </is>
      </c>
      <c r="B49" s="2" t="inlineStr">
        <is>
          <t>sample_count</t>
        </is>
      </c>
      <c r="C49" s="2" t="inlineStr">
        <is>
          <t>bigint</t>
        </is>
      </c>
      <c r="D49" s="2" t="b">
        <v>0</v>
      </c>
      <c r="E49" s="2" t="b">
        <v>0</v>
      </c>
      <c r="F49" s="2" t="inlineStr">
        <is>
          <t>Jumlah bukti/respons yang menjadi dasar angka; sampel kecil bukan bukti populasi.</t>
        </is>
      </c>
      <c r="G49" s="2" t="inlineStr">
        <is>
          <t>3</t>
        </is>
      </c>
    </row>
    <row r="50">
      <c r="A50" s="2" t="inlineStr">
        <is>
          <t>KPI_Result</t>
        </is>
      </c>
      <c r="B50" s="2" t="inlineStr">
        <is>
          <t>unfavourable_gap</t>
        </is>
      </c>
      <c r="C50" s="2" t="inlineStr">
        <is>
          <t>numeric</t>
        </is>
      </c>
      <c r="D50" s="2" t="b">
        <v>0</v>
      </c>
      <c r="E50" s="2" t="b">
        <v>0</v>
      </c>
      <c r="F50" s="2" t="inlineStr">
        <is>
          <t>Kekurangan/kelebihan yang merugikan menurut arah KPI; minimal 0.</t>
        </is>
      </c>
      <c r="G50" s="2" t="inlineStr">
        <is>
          <t>600000</t>
        </is>
      </c>
    </row>
    <row r="51">
      <c r="A51" s="2" t="inlineStr">
        <is>
          <t>KPI_Result</t>
        </is>
      </c>
      <c r="B51" s="2" t="inlineStr">
        <is>
          <t>achievement_ratio</t>
        </is>
      </c>
      <c r="C51" s="2" t="inlineStr">
        <is>
          <t>numeric</t>
        </is>
      </c>
      <c r="D51" s="2" t="b">
        <v>0</v>
      </c>
      <c r="E51" s="2" t="b">
        <v>0</v>
      </c>
      <c r="F51" s="2" t="inlineStr">
        <is>
          <t>HIGHER: actual/target. LOWER: target/actual. NULL jika penyebut tidak positif; dapat &gt;1.</t>
        </is>
      </c>
      <c r="G51" s="2" t="inlineStr">
        <is>
          <t>0.8</t>
        </is>
      </c>
    </row>
    <row r="52">
      <c r="A52" s="2" t="inlineStr">
        <is>
          <t>KPI_Result</t>
        </is>
      </c>
      <c r="B52" s="2" t="inlineStr">
        <is>
          <t>result_status</t>
        </is>
      </c>
      <c r="C52" s="2" t="inlineStr">
        <is>
          <t>text</t>
        </is>
      </c>
      <c r="D52" s="2" t="b">
        <v>0</v>
      </c>
      <c r="E52" s="2" t="b">
        <v>0</v>
      </c>
      <c r="F52" s="2" t="inlineStr">
        <is>
          <t>Kode/label/atribut sesuai nama kolom dan grain; lihat Rencana_ETL serta definisi metrik. Jangan menjumlahkan rasio atau satuan berbeda.</t>
        </is>
      </c>
      <c r="G52" s="2" t="inlineStr">
        <is>
          <t>BELOW_TARGET</t>
        </is>
      </c>
    </row>
    <row r="53">
      <c r="A53" s="2" t="inlineStr">
        <is>
          <t>KPI_Result</t>
        </is>
      </c>
      <c r="B53" s="2" t="inlineStr">
        <is>
          <t>reporting_status</t>
        </is>
      </c>
      <c r="C53" s="2" t="inlineStr">
        <is>
          <t>text</t>
        </is>
      </c>
      <c r="D53" s="2" t="b">
        <v>0</v>
      </c>
      <c r="E53" s="2" t="b">
        <v>0</v>
      </c>
      <c r="F53" s="2" t="inlineStr">
        <is>
          <t>Kode/label/atribut sesuai nama kolom dan grain; lihat Rencana_ETL serta definisi metrik. Jangan menjumlahkan rasio atau satuan berbeda.</t>
        </is>
      </c>
      <c r="G53" s="2" t="inlineStr">
        <is>
          <t>FINAL_SIMULATED</t>
        </is>
      </c>
    </row>
    <row r="54">
      <c r="A54" s="2" t="inlineStr">
        <is>
          <t>KPI_Result</t>
        </is>
      </c>
      <c r="B54" s="2" t="inlineStr">
        <is>
          <t>collected_at</t>
        </is>
      </c>
      <c r="C54" s="2" t="inlineStr">
        <is>
          <t>timestamptz</t>
        </is>
      </c>
      <c r="D54" s="2" t="b">
        <v>0</v>
      </c>
      <c r="E54" s="2" t="b">
        <v>0</v>
      </c>
      <c r="F54" s="2" t="inlineStr">
        <is>
          <t>Waktu pengambilan, bukan periode bisnis.</t>
        </is>
      </c>
      <c r="G54" s="2" t="inlineStr">
        <is>
          <t>2026-03-03T09:00:00+07:00</t>
        </is>
      </c>
    </row>
    <row r="55">
      <c r="A55" s="2" t="inlineStr">
        <is>
          <t>KPI_Result</t>
        </is>
      </c>
      <c r="B55" s="2" t="inlineStr">
        <is>
          <t>data_as_of_at</t>
        </is>
      </c>
      <c r="C55" s="2" t="inlineStr">
        <is>
          <t>timestamptz</t>
        </is>
      </c>
      <c r="D55" s="2" t="b">
        <v>0</v>
      </c>
      <c r="E55" s="2" t="b">
        <v>0</v>
      </c>
      <c r="F55" s="2" t="inlineStr">
        <is>
          <t>Batas kondisi data yang berlaku; timestamp teks ISO dengan offset.</t>
        </is>
      </c>
      <c r="G55" s="2" t="inlineStr">
        <is>
          <t>2026-03-03T09:00:00+07:00</t>
        </is>
      </c>
    </row>
    <row r="56">
      <c r="A56" s="2" t="inlineStr">
        <is>
          <t>Action_Plan</t>
        </is>
      </c>
      <c r="B56" s="2" t="inlineStr">
        <is>
          <t>action_id</t>
        </is>
      </c>
      <c r="C56" s="2" t="inlineStr">
        <is>
          <t>text</t>
        </is>
      </c>
      <c r="D56" s="2" t="b">
        <v>0</v>
      </c>
      <c r="E56" s="2" t="b">
        <v>1</v>
      </c>
      <c r="F56" s="2" t="inlineStr">
        <is>
          <t>Identitas stabil sesuai grain.</t>
        </is>
      </c>
      <c r="G56" s="2" t="inlineStr">
        <is>
          <t>ACT-KPI-01</t>
        </is>
      </c>
    </row>
    <row r="57">
      <c r="A57" s="2" t="inlineStr">
        <is>
          <t>Action_Plan</t>
        </is>
      </c>
      <c r="B57" s="2" t="inlineStr">
        <is>
          <t>source_sheet</t>
        </is>
      </c>
      <c r="C57" s="2" t="inlineStr">
        <is>
          <t>text</t>
        </is>
      </c>
      <c r="D57" s="2" t="b">
        <v>0</v>
      </c>
      <c r="E57" s="2" t="b">
        <v>0</v>
      </c>
      <c r="F57" s="2" t="inlineStr">
        <is>
          <t>Kode/label/atribut sesuai nama kolom dan grain; lihat Rencana_ETL serta definisi metrik. Jangan menjumlahkan rasio atau satuan berbeda.</t>
        </is>
      </c>
      <c r="G57" s="2" t="inlineStr">
        <is>
          <t>KPI_Result</t>
        </is>
      </c>
    </row>
    <row r="58">
      <c r="A58" s="2" t="inlineStr">
        <is>
          <t>Action_Plan</t>
        </is>
      </c>
      <c r="B58" s="2" t="inlineStr">
        <is>
          <t>source_record_id</t>
        </is>
      </c>
      <c r="C58" s="2" t="inlineStr">
        <is>
          <t>text</t>
        </is>
      </c>
      <c r="D58" s="2" t="b">
        <v>0</v>
      </c>
      <c r="E58" s="2" t="b">
        <v>0</v>
      </c>
      <c r="F58" s="2" t="inlineStr">
        <is>
          <t>Kode/label/atribut sesuai nama kolom dan grain; lihat Rencana_ETL serta definisi metrik. Jangan menjumlahkan rasio atau satuan berbeda.</t>
        </is>
      </c>
      <c r="G58" s="2" t="inlineStr">
        <is>
          <t>RESULT-1-RESPONSE_HOURS</t>
        </is>
      </c>
    </row>
    <row r="59">
      <c r="A59" s="2" t="inlineStr">
        <is>
          <t>Action_Plan</t>
        </is>
      </c>
      <c r="B59" s="2" t="inlineStr">
        <is>
          <t>unit_code</t>
        </is>
      </c>
      <c r="C59" s="2" t="inlineStr">
        <is>
          <t>text</t>
        </is>
      </c>
      <c r="D59" s="2" t="b">
        <v>0</v>
      </c>
      <c r="E59" s="2" t="b">
        <v>0</v>
      </c>
      <c r="F59" s="2" t="inlineStr">
        <is>
          <t>Kode/label/atribut sesuai nama kolom dan grain; lihat Rencana_ETL serta definisi metrik. Jangan menjumlahkan rasio atau satuan berbeda.</t>
        </is>
      </c>
      <c r="G59" s="2" t="inlineStr">
        <is>
          <t>UNIT-CS</t>
        </is>
      </c>
    </row>
    <row r="60">
      <c r="A60" s="2" t="inlineStr">
        <is>
          <t>Action_Plan</t>
        </is>
      </c>
      <c r="B60" s="2" t="inlineStr">
        <is>
          <t>indicator_code</t>
        </is>
      </c>
      <c r="C60" s="2" t="inlineStr">
        <is>
          <t>text</t>
        </is>
      </c>
      <c r="D60" s="2" t="b">
        <v>0</v>
      </c>
      <c r="E60" s="2" t="b">
        <v>0</v>
      </c>
      <c r="F60" s="2" t="inlineStr">
        <is>
          <t>Kode/label/atribut sesuai nama kolom dan grain; lihat Rencana_ETL serta definisi metrik. Jangan menjumlahkan rasio atau satuan berbeda.</t>
        </is>
      </c>
      <c r="G60" s="2" t="inlineStr">
        <is>
          <t>RESPONSE_HOURS</t>
        </is>
      </c>
    </row>
    <row r="61">
      <c r="A61" s="2" t="inlineStr">
        <is>
          <t>Action_Plan</t>
        </is>
      </c>
      <c r="B61" s="2" t="inlineStr">
        <is>
          <t>period_start</t>
        </is>
      </c>
      <c r="C61" s="2" t="inlineStr">
        <is>
          <t>date</t>
        </is>
      </c>
      <c r="D61" s="2" t="b">
        <v>0</v>
      </c>
      <c r="E61" s="2" t="b">
        <v>0</v>
      </c>
      <c r="F61" s="2" t="inlineStr">
        <is>
          <t>Tanggal pertama periode bisnis yang dicakup; teks ISO yyyy-mm-dd.</t>
        </is>
      </c>
      <c r="G61" s="2" t="inlineStr">
        <is>
          <t>2026-01-01</t>
        </is>
      </c>
    </row>
    <row r="62">
      <c r="A62" s="2" t="inlineStr">
        <is>
          <t>Action_Plan</t>
        </is>
      </c>
      <c r="B62" s="2" t="inlineStr">
        <is>
          <t>period_end</t>
        </is>
      </c>
      <c r="C62" s="2" t="inlineStr">
        <is>
          <t>date</t>
        </is>
      </c>
      <c r="D62" s="2" t="b">
        <v>0</v>
      </c>
      <c r="E62" s="2" t="b">
        <v>0</v>
      </c>
      <c r="F62" s="2" t="inlineStr">
        <is>
          <t>Tanggal terakhir periode bisnis yang dicakup, inklusif; bukan tanggal pengambilan.</t>
        </is>
      </c>
      <c r="G62" s="2" t="inlineStr">
        <is>
          <t>2026-01-31</t>
        </is>
      </c>
    </row>
    <row r="63">
      <c r="A63" s="2" t="inlineStr">
        <is>
          <t>Action_Plan</t>
        </is>
      </c>
      <c r="B63" s="2" t="inlineStr">
        <is>
          <t>baseline_value</t>
        </is>
      </c>
      <c r="C63" s="2" t="inlineStr">
        <is>
          <t>numeric</t>
        </is>
      </c>
      <c r="D63" s="2" t="b">
        <v>0</v>
      </c>
      <c r="E63" s="2" t="b">
        <v>0</v>
      </c>
      <c r="F63" s="2" t="inlineStr">
        <is>
          <t>Nilai awal yang dibekukan pada periode bukti sebelum tindakan.</t>
        </is>
      </c>
      <c r="G63" s="2" t="inlineStr">
        <is>
          <t>30.0</t>
        </is>
      </c>
    </row>
    <row r="64">
      <c r="A64" s="2" t="inlineStr">
        <is>
          <t>Action_Plan</t>
        </is>
      </c>
      <c r="B64" s="2" t="inlineStr">
        <is>
          <t>target_value</t>
        </is>
      </c>
      <c r="C64" s="2" t="inlineStr">
        <is>
          <t>numeric</t>
        </is>
      </c>
      <c r="D64" s="2" t="b">
        <v>0</v>
      </c>
      <c r="E64" s="2" t="b">
        <v>0</v>
      </c>
      <c r="F64" s="2" t="inlineStr">
        <is>
          <t>Target yang disetujui pada satuan dan arah indikator; target contoh harus diganti/direview.</t>
        </is>
      </c>
      <c r="G64" s="2" t="inlineStr">
        <is>
          <t>24</t>
        </is>
      </c>
    </row>
    <row r="65">
      <c r="A65" s="2" t="inlineStr">
        <is>
          <t>Action_Plan</t>
        </is>
      </c>
      <c r="B65" s="2" t="inlineStr">
        <is>
          <t>measurement_unit</t>
        </is>
      </c>
      <c r="C65" s="2" t="inlineStr">
        <is>
          <t>text</t>
        </is>
      </c>
      <c r="D65" s="2" t="b">
        <v>0</v>
      </c>
      <c r="E65" s="2" t="b">
        <v>0</v>
      </c>
      <c r="F65" s="2" t="inlineStr">
        <is>
          <t>Kode/label/atribut sesuai nama kolom dan grain; lihat Rencana_ETL serta definisi metrik. Jangan menjumlahkan rasio atau satuan berbeda.</t>
        </is>
      </c>
      <c r="G65" s="2" t="inlineStr">
        <is>
          <t>HOUR</t>
        </is>
      </c>
    </row>
    <row r="66">
      <c r="A66" s="2" t="inlineStr">
        <is>
          <t>Action_Plan</t>
        </is>
      </c>
      <c r="B66" s="2" t="inlineStr">
        <is>
          <t>finding</t>
        </is>
      </c>
      <c r="C66" s="2" t="inlineStr">
        <is>
          <t>text</t>
        </is>
      </c>
      <c r="D66" s="2" t="b">
        <v>0</v>
      </c>
      <c r="E66" s="2" t="b">
        <v>0</v>
      </c>
      <c r="F66" s="2" t="inlineStr">
        <is>
          <t>Kode/label/atribut sesuai nama kolom dan grain; lihat Rencana_ETL serta definisi metrik. Jangan menjumlahkan rasio atau satuan berbeda.</t>
        </is>
      </c>
      <c r="G66" s="2" t="inlineStr">
        <is>
          <t>Rata-rata respons 30 jam dibanding target contoh maksimal 24 jam.</t>
        </is>
      </c>
    </row>
    <row r="67">
      <c r="A67" s="2" t="inlineStr">
        <is>
          <t>Action_Plan</t>
        </is>
      </c>
      <c r="B67" s="2" t="inlineStr">
        <is>
          <t>cause_hypothesis</t>
        </is>
      </c>
      <c r="C67" s="2" t="inlineStr">
        <is>
          <t>text</t>
        </is>
      </c>
      <c r="D67" s="2" t="b">
        <v>0</v>
      </c>
      <c r="E67" s="2" t="b">
        <v>0</v>
      </c>
      <c r="F67" s="2" t="inlineStr">
        <is>
          <t>Kode/label/atribut sesuai nama kolom dan grain; lihat Rencana_ETL serta definisi metrik. Jangan menjumlahkan rasio atau satuan berbeda.</t>
        </is>
      </c>
      <c r="G67" s="2" t="inlineStr">
        <is>
          <t>Antrean layanan masih hipotesis; contoh hanya 3 pengukuran.</t>
        </is>
      </c>
    </row>
    <row r="68">
      <c r="A68" s="2" t="inlineStr">
        <is>
          <t>Action_Plan</t>
        </is>
      </c>
      <c r="B68" s="2" t="inlineStr">
        <is>
          <t>cause_status</t>
        </is>
      </c>
      <c r="C68" s="2" t="inlineStr">
        <is>
          <t>text</t>
        </is>
      </c>
      <c r="D68" s="2" t="b">
        <v>0</v>
      </c>
      <c r="E68" s="2" t="b">
        <v>0</v>
      </c>
      <c r="F68" s="2" t="inlineStr">
        <is>
          <t>UNVERIFIED menunjukkan hipotesis belum menjadi akar penyebab yang terbukti.</t>
        </is>
      </c>
      <c r="G68" s="2" t="inlineStr">
        <is>
          <t>UNVERIFIED</t>
        </is>
      </c>
    </row>
    <row r="69">
      <c r="A69" s="2" t="inlineStr">
        <is>
          <t>Action_Plan</t>
        </is>
      </c>
      <c r="B69" s="2" t="inlineStr">
        <is>
          <t>evidence_ref</t>
        </is>
      </c>
      <c r="C69" s="2" t="inlineStr">
        <is>
          <t>text</t>
        </is>
      </c>
      <c r="D69" s="2" t="b">
        <v>0</v>
      </c>
      <c r="E69" s="2" t="b">
        <v>0</v>
      </c>
      <c r="F69" s="2" t="inlineStr">
        <is>
          <t>Referensi bukti simulasi; ganti dengan bukti nyata yang aksesnya sesuai.</t>
        </is>
      </c>
      <c r="G69" s="2" t="inlineStr">
        <is>
          <t>SIMULASI::KPI_Result::RESULT-1-RESPONSE_HOURS</t>
        </is>
      </c>
    </row>
    <row r="70">
      <c r="A70" s="2" t="inlineStr">
        <is>
          <t>Action_Plan</t>
        </is>
      </c>
      <c r="B70" s="2" t="inlineStr">
        <is>
          <t>action_description</t>
        </is>
      </c>
      <c r="C70" s="2" t="inlineStr">
        <is>
          <t>text</t>
        </is>
      </c>
      <c r="D70" s="2" t="b">
        <v>0</v>
      </c>
      <c r="E70" s="2" t="b">
        <v>0</v>
      </c>
      <c r="F70" s="2" t="inlineStr">
        <is>
          <t>Kode/label/atribut sesuai nama kolom dan grain; lihat Rencana_ETL serta definisi metrik. Jangan menjumlahkan rasio atau satuan berbeda.</t>
        </is>
      </c>
      <c r="G70" s="2" t="inlineStr">
        <is>
          <t>Verifikasi sampel dan proses antrean, uji alokasi petugas, lalu ukur respons dengan metode dan cakupan yang sama.</t>
        </is>
      </c>
    </row>
    <row r="71">
      <c r="A71" s="2" t="inlineStr">
        <is>
          <t>Action_Plan</t>
        </is>
      </c>
      <c r="B71" s="2" t="inlineStr">
        <is>
          <t>owner_team_code</t>
        </is>
      </c>
      <c r="C71" s="2" t="inlineStr">
        <is>
          <t>text</t>
        </is>
      </c>
      <c r="D71" s="2" t="b">
        <v>0</v>
      </c>
      <c r="E71" s="2" t="b">
        <v>0</v>
      </c>
      <c r="F71" s="2" t="inlineStr">
        <is>
          <t>Kode/label/atribut sesuai nama kolom dan grain; lihat Rencana_ETL serta definisi metrik. Jangan menjumlahkan rasio atau satuan berbeda.</t>
        </is>
      </c>
      <c r="G71" s="2" t="inlineStr">
        <is>
          <t>TEAM-CS</t>
        </is>
      </c>
    </row>
    <row r="72">
      <c r="A72" s="2" t="inlineStr">
        <is>
          <t>Action_Plan</t>
        </is>
      </c>
      <c r="B72" s="2" t="inlineStr">
        <is>
          <t>due_date</t>
        </is>
      </c>
      <c r="C72" s="2" t="inlineStr">
        <is>
          <t>date</t>
        </is>
      </c>
      <c r="D72" s="2" t="b">
        <v>0</v>
      </c>
      <c r="E72" s="2" t="b">
        <v>0</v>
      </c>
      <c r="F72" s="2" t="inlineStr">
        <is>
          <t>Tenggat tindakan bisnis, bukan periode pengukuran.</t>
        </is>
      </c>
      <c r="G72" s="2" t="inlineStr">
        <is>
          <t>2026-02-15</t>
        </is>
      </c>
    </row>
    <row r="73">
      <c r="A73" s="2" t="inlineStr">
        <is>
          <t>Action_Plan</t>
        </is>
      </c>
      <c r="B73" s="2" t="inlineStr">
        <is>
          <t>action_status</t>
        </is>
      </c>
      <c r="C73" s="2" t="inlineStr">
        <is>
          <t>text</t>
        </is>
      </c>
      <c r="D73" s="2" t="b">
        <v>0</v>
      </c>
      <c r="E73" s="2" t="b">
        <v>0</v>
      </c>
      <c r="F73" s="2" t="inlineStr">
        <is>
          <t>Kode/label/atribut sesuai nama kolom dan grain; lihat Rencana_ETL serta definisi metrik. Jangan menjumlahkan rasio atau satuan berbeda.</t>
        </is>
      </c>
      <c r="G73" s="2" t="inlineStr">
        <is>
          <t>PLANNED</t>
        </is>
      </c>
    </row>
    <row r="74">
      <c r="A74" s="2" t="inlineStr">
        <is>
          <t>Action_Plan</t>
        </is>
      </c>
      <c r="B74" s="2" t="inlineStr">
        <is>
          <t>followup_start</t>
        </is>
      </c>
      <c r="C74" s="2" t="inlineStr">
        <is>
          <t>date</t>
        </is>
      </c>
      <c r="D74" s="2" t="b">
        <v>0</v>
      </c>
      <c r="E74" s="2" t="b">
        <v>0</v>
      </c>
      <c r="F74" s="2" t="inlineStr">
        <is>
          <t>Kode/label/atribut sesuai nama kolom dan grain; lihat Rencana_ETL serta definisi metrik. Jangan menjumlahkan rasio atau satuan berbeda.</t>
        </is>
      </c>
      <c r="G74" s="2" t="inlineStr">
        <is>
          <t>2026-02-01</t>
        </is>
      </c>
    </row>
    <row r="75">
      <c r="A75" s="2" t="inlineStr">
        <is>
          <t>Action_Plan</t>
        </is>
      </c>
      <c r="B75" s="2" t="inlineStr">
        <is>
          <t>followup_end</t>
        </is>
      </c>
      <c r="C75" s="2" t="inlineStr">
        <is>
          <t>date</t>
        </is>
      </c>
      <c r="D75" s="2" t="b">
        <v>0</v>
      </c>
      <c r="E75" s="2" t="b">
        <v>0</v>
      </c>
      <c r="F75" s="2" t="inlineStr">
        <is>
          <t>Kode/label/atribut sesuai nama kolom dan grain; lihat Rencana_ETL serta definisi metrik. Jangan menjumlahkan rasio atau satuan berbeda.</t>
        </is>
      </c>
      <c r="G75" s="2" t="inlineStr">
        <is>
          <t>2026-02-28</t>
        </is>
      </c>
    </row>
    <row r="76">
      <c r="A76" s="2" t="inlineStr">
        <is>
          <t>Action_Plan</t>
        </is>
      </c>
      <c r="B76" s="2" t="inlineStr">
        <is>
          <t>followup_value</t>
        </is>
      </c>
      <c r="C76" s="2" t="inlineStr">
        <is>
          <t>numeric</t>
        </is>
      </c>
      <c r="D76" s="2" t="b">
        <v>1</v>
      </c>
      <c r="E76" s="2" t="b">
        <v>0</v>
      </c>
      <c r="F76" s="2" t="inlineStr">
        <is>
          <t>Hasil ukur setelah tindakan; NULL jika belum dievaluasi, bukan 0.</t>
        </is>
      </c>
      <c r="G76" s="2" t="inlineStr">
        <is>
          <t>Kosong: belum diukur/tidak berlaku; bukan 0</t>
        </is>
      </c>
    </row>
    <row r="77">
      <c r="A77" s="2" t="inlineStr">
        <is>
          <t>Action_Plan</t>
        </is>
      </c>
      <c r="B77" s="2" t="inlineStr">
        <is>
          <t>verification_status</t>
        </is>
      </c>
      <c r="C77" s="2" t="inlineStr">
        <is>
          <t>text</t>
        </is>
      </c>
      <c r="D77" s="2" t="b">
        <v>0</v>
      </c>
      <c r="E77" s="2" t="b">
        <v>0</v>
      </c>
      <c r="F77" s="2" t="inlineStr">
        <is>
          <t>NOT_EVALUATED berarti tindakan/hasil belum diverifikasi.</t>
        </is>
      </c>
      <c r="G77" s="2" t="inlineStr">
        <is>
          <t>NOT_EVALUATED</t>
        </is>
      </c>
    </row>
    <row r="78">
      <c r="A78" s="2" t="inlineStr">
        <is>
          <t>Action_Plan</t>
        </is>
      </c>
      <c r="B78" s="2" t="inlineStr">
        <is>
          <t>collected_at</t>
        </is>
      </c>
      <c r="C78" s="2" t="inlineStr">
        <is>
          <t>timestamptz</t>
        </is>
      </c>
      <c r="D78" s="2" t="b">
        <v>0</v>
      </c>
      <c r="E78" s="2" t="b">
        <v>0</v>
      </c>
      <c r="F78" s="2" t="inlineStr">
        <is>
          <t>Waktu pengambilan, bukan periode bisnis.</t>
        </is>
      </c>
      <c r="G78" s="2" t="inlineStr">
        <is>
          <t>2026-02-02T09:00:00+07:00</t>
        </is>
      </c>
    </row>
  </sheetData>
  <autoFilter ref="A1:G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55" customWidth="1" min="7" max="7"/>
  </cols>
  <sheetData>
    <row r="1" ht="32" customHeight="1">
      <c r="A1" s="1" t="inlineStr">
        <is>
          <t>sheet</t>
        </is>
      </c>
      <c r="B1" s="1" t="inlineStr">
        <is>
          <t>classification</t>
        </is>
      </c>
      <c r="C1" s="1" t="inlineStr">
        <is>
          <t>grain</t>
        </is>
      </c>
      <c r="D1" s="1" t="inlineStr">
        <is>
          <t>business_key</t>
        </is>
      </c>
      <c r="E1" s="1" t="inlineStr">
        <is>
          <t>load</t>
        </is>
      </c>
      <c r="F1" s="1" t="inlineStr">
        <is>
          <t>metrics</t>
        </is>
      </c>
      <c r="G1" s="1" t="inlineStr">
        <is>
          <t>notes</t>
        </is>
      </c>
    </row>
    <row r="2">
      <c r="A2" s="2" t="inlineStr">
        <is>
          <t>Master_Unit</t>
        </is>
      </c>
      <c r="B2" s="2" t="inlineStr">
        <is>
          <t>MASTER</t>
        </is>
      </c>
      <c r="C2" s="2" t="inlineStr">
        <is>
          <t>satu baris per unit</t>
        </is>
      </c>
      <c r="D2" s="2" t="inlineStr">
        <is>
          <t>unit_code</t>
        </is>
      </c>
      <c r="E2" s="2" t="inlineStr">
        <is>
          <t>Registry master</t>
        </is>
      </c>
      <c r="F2" s="2" t="inlineStr">
        <is>
          <t>Review definisi sebelum menambahkan metrik</t>
        </is>
      </c>
      <c r="G2" s="2" t="inlineStr"/>
    </row>
    <row r="3">
      <c r="A3" s="2" t="inlineStr">
        <is>
          <t>Master_Tim</t>
        </is>
      </c>
      <c r="B3" s="2" t="inlineStr">
        <is>
          <t>MASTER</t>
        </is>
      </c>
      <c r="C3" s="2" t="inlineStr">
        <is>
          <t>satu baris per tim penanggung jawab</t>
        </is>
      </c>
      <c r="D3" s="2" t="inlineStr">
        <is>
          <t>owner_team_code</t>
        </is>
      </c>
      <c r="E3" s="2" t="inlineStr">
        <is>
          <t>Registry master</t>
        </is>
      </c>
      <c r="F3" s="2" t="inlineStr">
        <is>
          <t>Review definisi sebelum menambahkan metrik</t>
        </is>
      </c>
      <c r="G3" s="2" t="inlineStr"/>
    </row>
    <row r="4">
      <c r="A4" s="2" t="inlineStr">
        <is>
          <t>Master_Indikator</t>
        </is>
      </c>
      <c r="B4" s="2" t="inlineStr">
        <is>
          <t>MASTER</t>
        </is>
      </c>
      <c r="C4" s="2" t="inlineStr">
        <is>
          <t>satu baris per indikator dengan definisi dan satuan</t>
        </is>
      </c>
      <c r="D4" s="2" t="inlineStr">
        <is>
          <t>indicator_code</t>
        </is>
      </c>
      <c r="E4" s="2" t="inlineStr">
        <is>
          <t>Registry master</t>
        </is>
      </c>
      <c r="F4" s="2" t="inlineStr">
        <is>
          <t>Review definisi sebelum menambahkan metrik</t>
        </is>
      </c>
      <c r="G4" s="2" t="inlineStr"/>
    </row>
    <row r="5">
      <c r="A5" s="2" t="inlineStr">
        <is>
          <t>KPI_Plan</t>
        </is>
      </c>
      <c r="B5" s="2" t="inlineStr">
        <is>
          <t>NON_MASTER</t>
        </is>
      </c>
      <c r="C5" s="2" t="inlineStr">
        <is>
          <t>satu baris per unit indikator periode versi target aktif</t>
        </is>
      </c>
      <c r="D5" s="2" t="inlineStr">
        <is>
          <t>plan_id</t>
        </is>
      </c>
      <c r="E5" s="2" t="inlineStr">
        <is>
          <t>UPSERT</t>
        </is>
      </c>
      <c r="F5" s="2" t="inlineStr">
        <is>
          <t>Review definisi sebelum menambahkan metrik</t>
        </is>
      </c>
      <c r="G5" s="2" t="inlineStr">
        <is>
          <t>goal_id bukan business key karena satu goal dapat memiliki banyak indikator/periode. Versi target direview sebelum evaluasi.</t>
        </is>
      </c>
    </row>
    <row r="6">
      <c r="A6" s="2" t="inlineStr">
        <is>
          <t>KPI_Measurement</t>
        </is>
      </c>
      <c r="B6" s="2" t="inlineStr">
        <is>
          <t>NON_MASTER</t>
        </is>
      </c>
      <c r="C6" s="2" t="inlineStr">
        <is>
          <t>satu baris per bukti pengukuran indikator</t>
        </is>
      </c>
      <c r="D6" s="2" t="inlineStr">
        <is>
          <t>measurement_id</t>
        </is>
      </c>
      <c r="E6" s="2" t="inlineStr">
        <is>
          <t>UPSERT</t>
        </is>
      </c>
      <c r="F6" s="2" t="inlineStr">
        <is>
          <t>m_revenue_observed:sum [IDR] dengan filter indikator; m_resolved_observed:sum [CASE] dengan filter indikator; m_response_hours_observed:avg [HOUR] dengan filter indikator; m_satisfaction_observed:avg [SCORE_1_5] dengan filter indikator</t>
        </is>
      </c>
      <c r="G6" s="2" t="inlineStr">
        <is>
          <t>Nilai berbeda satuan tidak dijumlahkan. Rekap aktual mengikuti SUM/AVG pada Master_Indikator; 3 sampel tidak mewakili populasi tanpa bukti.</t>
        </is>
      </c>
    </row>
    <row r="7">
      <c r="A7" s="2" t="inlineStr">
        <is>
          <t>KPI_Result</t>
        </is>
      </c>
      <c r="B7" s="2" t="inlineStr">
        <is>
          <t>NON_MASTER</t>
        </is>
      </c>
      <c r="C7" s="2" t="inlineStr">
        <is>
          <t>satu baris per plan indikator periode</t>
        </is>
      </c>
      <c r="D7" s="2" t="inlineStr">
        <is>
          <t>kpi_result_id</t>
        </is>
      </c>
      <c r="E7" s="2" t="inlineStr">
        <is>
          <t>UPSERT</t>
        </is>
      </c>
      <c r="F7" s="2" t="inlineStr">
        <is>
          <t>m_revenue_target_value:max [IDR] dengan filter indikator; m_revenue_actual_value:max [IDR] dengan filter indikator; m_resolved_target_value:max [CASE] dengan filter indikator; m_resolved_actual_value:max [CASE] dengan filter indikator; m_response_hours_target_value:max [HOUR] dengan filter indikator; m_response_hours_actual_value:max [HOUR] dengan filter indikator; m_satisfaction_target_value:max [SCORE_1_5] dengan filter indikator; m_satisfaction_actual_value:max [SCORE_1_5] dengan filter indikator</t>
        </is>
      </c>
      <c r="G7" s="2" t="inlineStr">
        <is>
          <t>Jangan SUM actual/gap/achievement lintas indikator atau AVG rasio tanpa bobot yang sah. Actual rekap perlu dihitung ulang jika pengukuran berubah; rasio arah LOWER berbeda dari HIGHER.</t>
        </is>
      </c>
    </row>
    <row r="8">
      <c r="A8" s="2" t="inlineStr">
        <is>
          <t>Action_Plan</t>
        </is>
      </c>
      <c r="B8" s="2" t="inlineStr">
        <is>
          <t>NON_MASTER</t>
        </is>
      </c>
      <c r="C8" s="2" t="inlineStr">
        <is>
          <t>satu baris per tindakan yang merujuk record temuan</t>
        </is>
      </c>
      <c r="D8" s="2" t="inlineStr">
        <is>
          <t>action_id</t>
        </is>
      </c>
      <c r="E8" s="2" t="inlineStr">
        <is>
          <t>UPSERT</t>
        </is>
      </c>
      <c r="F8" s="2" t="inlineStr">
        <is>
          <t>Review definisi sebelum menambahkan metrik</t>
        </is>
      </c>
      <c r="G8" s="2" t="inlineStr">
        <is>
          <t>Baseline dibekukan sesuai periode bukti; hipotesis belum terverifikasi. Nilai follow-up kosong berarti belum dievaluasi, bukan nol.</t>
        </is>
      </c>
    </row>
  </sheetData>
  <autoFilter ref="A1:G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47857"/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32" customHeight="1">
      <c r="A1" s="1" t="inlineStr">
        <is>
          <t>unit_code</t>
        </is>
      </c>
      <c r="B1" s="1" t="inlineStr">
        <is>
          <t>unit_label</t>
        </is>
      </c>
      <c r="C1" s="1" t="inlineStr">
        <is>
          <t>is_active</t>
        </is>
      </c>
    </row>
    <row r="2">
      <c r="A2" s="3" t="inlineStr">
        <is>
          <t>UNIT-CS</t>
        </is>
      </c>
      <c r="B2" s="3" t="inlineStr">
        <is>
          <t>Layanan Pelanggan</t>
        </is>
      </c>
      <c r="C2" s="2" t="b">
        <v>1</v>
      </c>
    </row>
    <row r="3">
      <c r="A3" s="3" t="inlineStr">
        <is>
          <t>UNIT-MKT</t>
        </is>
      </c>
      <c r="B3" s="3" t="inlineStr">
        <is>
          <t>Marketing</t>
        </is>
      </c>
      <c r="C3" s="2" t="b">
        <v>1</v>
      </c>
    </row>
    <row r="4">
      <c r="A4" s="3" t="inlineStr">
        <is>
          <t>UNIT-OPS</t>
        </is>
      </c>
      <c r="B4" s="3" t="inlineStr">
        <is>
          <t>Operasional</t>
        </is>
      </c>
      <c r="C4" s="2" t="b">
        <v>1</v>
      </c>
    </row>
  </sheetData>
  <autoFilter ref="A1:C4"/>
  <dataValidations count="1">
    <dataValidation sqref="A2:A1001" showDropDown="0" showInputMessage="0" showErrorMessage="1" allowBlank="0" errorTitle="Kode belum ada di master" error="Pilih kode rujukan yang sah; master baru harus direview sebelum dipakai." type="list">
      <formula1>=REF_unit_code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047857"/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32" customHeight="1">
      <c r="A1" s="1" t="inlineStr">
        <is>
          <t>owner_team_code</t>
        </is>
      </c>
      <c r="B1" s="1" t="inlineStr">
        <is>
          <t>team_label</t>
        </is>
      </c>
      <c r="C1" s="1" t="inlineStr">
        <is>
          <t>unit_code</t>
        </is>
      </c>
    </row>
    <row r="2">
      <c r="A2" s="3" t="inlineStr">
        <is>
          <t>TEAM-CS</t>
        </is>
      </c>
      <c r="B2" s="3" t="inlineStr">
        <is>
          <t>Tim Layanan</t>
        </is>
      </c>
      <c r="C2" s="3" t="inlineStr">
        <is>
          <t>UNIT-CS</t>
        </is>
      </c>
    </row>
    <row r="3">
      <c r="A3" s="3" t="inlineStr">
        <is>
          <t>TEAM-MKT</t>
        </is>
      </c>
      <c r="B3" s="3" t="inlineStr">
        <is>
          <t>Tim Marketing</t>
        </is>
      </c>
      <c r="C3" s="3" t="inlineStr">
        <is>
          <t>UNIT-MKT</t>
        </is>
      </c>
    </row>
    <row r="4">
      <c r="A4" s="3" t="inlineStr">
        <is>
          <t>TEAM-OPS</t>
        </is>
      </c>
      <c r="B4" s="3" t="inlineStr">
        <is>
          <t>Tim Operasional</t>
        </is>
      </c>
      <c r="C4" s="3" t="inlineStr">
        <is>
          <t>UNIT-OPS</t>
        </is>
      </c>
    </row>
  </sheetData>
  <autoFilter ref="A1:C4"/>
  <dataValidations count="2">
    <dataValidation sqref="A2:A1001" showDropDown="0" showInputMessage="0" showErrorMessage="1" allowBlank="0" errorTitle="Kode belum ada di master" error="Pilih kode rujukan yang sah; master baru harus direview sebelum dipakai." type="list">
      <formula1>=REF_owner_team_code</formula1>
    </dataValidation>
    <dataValidation sqref="C2:C1001" showDropDown="0" showInputMessage="0" showErrorMessage="1" allowBlank="0" errorTitle="Kode belum ada di master" error="Pilih kode rujukan yang sah; master baru harus direview sebelum dipakai." type="list">
      <formula1>=REF_unit_code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047857"/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9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indicator_code</t>
        </is>
      </c>
      <c r="B1" s="1" t="inlineStr">
        <is>
          <t>indicator_label</t>
        </is>
      </c>
      <c r="C1" s="1" t="inlineStr">
        <is>
          <t>measurement_unit</t>
        </is>
      </c>
      <c r="D1" s="1" t="inlineStr">
        <is>
          <t>direction</t>
        </is>
      </c>
      <c r="E1" s="1" t="inlineStr">
        <is>
          <t>aggregation</t>
        </is>
      </c>
      <c r="F1" s="1" t="inlineStr">
        <is>
          <t>definition</t>
        </is>
      </c>
    </row>
    <row r="2">
      <c r="A2" s="3" t="inlineStr">
        <is>
          <t>REVENUE</t>
        </is>
      </c>
      <c r="B2" s="3" t="inlineStr">
        <is>
          <t>Pendapatan tercatat</t>
        </is>
      </c>
      <c r="C2" s="3" t="inlineStr">
        <is>
          <t>IDR</t>
        </is>
      </c>
      <c r="D2" s="3" t="inlineStr">
        <is>
          <t>HIGHER_IS_BETTER</t>
        </is>
      </c>
      <c r="E2" s="3" t="inlineStr">
        <is>
          <t>SUM</t>
        </is>
      </c>
      <c r="F2" s="3" t="inlineStr">
        <is>
          <t>Jumlah pendapatan tercatat pada periode.</t>
        </is>
      </c>
    </row>
    <row r="3">
      <c r="A3" s="3" t="inlineStr">
        <is>
          <t>RESOLVED</t>
        </is>
      </c>
      <c r="B3" s="3" t="inlineStr">
        <is>
          <t>Kasus selesai</t>
        </is>
      </c>
      <c r="C3" s="3" t="inlineStr">
        <is>
          <t>CASE</t>
        </is>
      </c>
      <c r="D3" s="3" t="inlineStr">
        <is>
          <t>HIGHER_IS_BETTER</t>
        </is>
      </c>
      <c r="E3" s="3" t="inlineStr">
        <is>
          <t>SUM</t>
        </is>
      </c>
      <c r="F3" s="3" t="inlineStr">
        <is>
          <t>Jumlah kasus unik selesai pada periode.</t>
        </is>
      </c>
    </row>
    <row r="4">
      <c r="A4" s="3" t="inlineStr">
        <is>
          <t>RESPONSE_HOURS</t>
        </is>
      </c>
      <c r="B4" s="3" t="inlineStr">
        <is>
          <t>Jam respons awal</t>
        </is>
      </c>
      <c r="C4" s="3" t="inlineStr">
        <is>
          <t>HOUR</t>
        </is>
      </c>
      <c r="D4" s="3" t="inlineStr">
        <is>
          <t>LOWER_IS_BETTER</t>
        </is>
      </c>
      <c r="E4" s="3" t="inlineStr">
        <is>
          <t>AVG</t>
        </is>
      </c>
      <c r="F4" s="3" t="inlineStr">
        <is>
          <t>Rata-rata jam respons dari sampel yang dicatat.</t>
        </is>
      </c>
    </row>
    <row r="5">
      <c r="A5" s="3" t="inlineStr">
        <is>
          <t>SATISFACTION</t>
        </is>
      </c>
      <c r="B5" s="3" t="inlineStr">
        <is>
          <t>Skor kepuasan</t>
        </is>
      </c>
      <c r="C5" s="3" t="inlineStr">
        <is>
          <t>SCORE_1_5</t>
        </is>
      </c>
      <c r="D5" s="3" t="inlineStr">
        <is>
          <t>HIGHER_IS_BETTER</t>
        </is>
      </c>
      <c r="E5" s="3" t="inlineStr">
        <is>
          <t>AVG</t>
        </is>
      </c>
      <c r="F5" s="3" t="inlineStr">
        <is>
          <t>Rating sampel 1 sampai 5, bukan CSAT/NPS.</t>
        </is>
      </c>
    </row>
    <row r="6">
      <c r="A6" s="3" t="inlineStr">
        <is>
          <t>SLA_BREACH</t>
        </is>
      </c>
      <c r="B6" s="3" t="inlineStr">
        <is>
          <t>Rasio pelanggaran SLA</t>
        </is>
      </c>
      <c r="C6" s="3" t="inlineStr">
        <is>
          <t>RATIO</t>
        </is>
      </c>
      <c r="D6" s="3" t="inlineStr">
        <is>
          <t>LOWER_IS_BETTER</t>
        </is>
      </c>
      <c r="E6" s="3" t="inlineStr">
        <is>
          <t>RECOMPUTE_RATIO</t>
        </is>
      </c>
      <c r="F6" s="3" t="inlineStr">
        <is>
          <t>Keluhan melewati SLA / keluhan cohort periode.</t>
        </is>
      </c>
    </row>
    <row r="7">
      <c r="A7" s="3" t="inlineStr">
        <is>
          <t>COST_QUALIFIED_LEAD</t>
        </is>
      </c>
      <c r="B7" s="3" t="inlineStr">
        <is>
          <t>Biaya per qualified lead</t>
        </is>
      </c>
      <c r="C7" s="3" t="inlineStr">
        <is>
          <t>IDR_PER_LEAD</t>
        </is>
      </c>
      <c r="D7" s="3" t="inlineStr">
        <is>
          <t>LOWER_IS_BETTER</t>
        </is>
      </c>
      <c r="E7" s="3" t="inlineStr">
        <is>
          <t>RECOMPUTE_RATIO</t>
        </is>
      </c>
      <c r="F7" s="3" t="inlineStr">
        <is>
          <t>Spend / qualified leads yang teratribusi dan terdeduplikasi.</t>
        </is>
      </c>
    </row>
    <row r="8">
      <c r="A8" s="3" t="inlineStr">
        <is>
          <t>PRODUCT_CSAT</t>
        </is>
      </c>
      <c r="B8" s="3" t="inlineStr">
        <is>
          <t>CSAT produk</t>
        </is>
      </c>
      <c r="C8" s="3" t="inlineStr">
        <is>
          <t>RATIO</t>
        </is>
      </c>
      <c r="D8" s="3" t="inlineStr">
        <is>
          <t>HIGHER_IS_BETTER</t>
        </is>
      </c>
      <c r="E8" s="3" t="inlineStr">
        <is>
          <t>RECOMPUTE_RATIO</t>
        </is>
      </c>
      <c r="F8" s="3" t="inlineStr">
        <is>
          <t>Skor produk 4/5 dibagi respons valid pada versi survei yang sama.</t>
        </is>
      </c>
    </row>
    <row r="9">
      <c r="A9" s="3" t="inlineStr">
        <is>
          <t>SERVICE_SCORE</t>
        </is>
      </c>
      <c r="B9" s="3" t="inlineStr">
        <is>
          <t>Skor layanan</t>
        </is>
      </c>
      <c r="C9" s="3" t="inlineStr">
        <is>
          <t>SCORE_1_5</t>
        </is>
      </c>
      <c r="D9" s="3" t="inlineStr">
        <is>
          <t>HIGHER_IS_BETTER</t>
        </is>
      </c>
      <c r="E9" s="3" t="inlineStr">
        <is>
          <t>AVG</t>
        </is>
      </c>
      <c r="F9" s="3" t="inlineStr">
        <is>
          <t>Rataan skor layanan dalam metode/sampel yang sebanding.</t>
        </is>
      </c>
    </row>
  </sheetData>
  <autoFilter ref="A1:F9"/>
  <dataValidations count="1">
    <dataValidation sqref="A2:A1001" showDropDown="0" showInputMessage="0" showErrorMessage="1" allowBlank="0" errorTitle="Kode belum ada di master" error="Pilih kode rujukan yang sah; master baru harus direview sebelum dipakai." type="list">
      <formula1>=REF_indicator_code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2563EB"/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9" customWidth="1" min="3" max="3"/>
    <col width="18" customWidth="1" min="4" max="4"/>
    <col width="18" customWidth="1" min="5" max="5"/>
    <col width="19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32" customHeight="1">
      <c r="A1" s="1" t="inlineStr">
        <is>
          <t>plan_id</t>
        </is>
      </c>
      <c r="B1" s="1" t="inlineStr">
        <is>
          <t>goal_id</t>
        </is>
      </c>
      <c r="C1" s="1" t="inlineStr">
        <is>
          <t>goal_description</t>
        </is>
      </c>
      <c r="D1" s="1" t="inlineStr">
        <is>
          <t>unit_code</t>
        </is>
      </c>
      <c r="E1" s="1" t="inlineStr">
        <is>
          <t>indicator_code</t>
        </is>
      </c>
      <c r="F1" s="1" t="inlineStr">
        <is>
          <t>measurement_unit</t>
        </is>
      </c>
      <c r="G1" s="1" t="inlineStr">
        <is>
          <t>direction</t>
        </is>
      </c>
      <c r="H1" s="1" t="inlineStr">
        <is>
          <t>period_start</t>
        </is>
      </c>
      <c r="I1" s="1" t="inlineStr">
        <is>
          <t>period_end</t>
        </is>
      </c>
      <c r="J1" s="1" t="inlineStr">
        <is>
          <t>target_value</t>
        </is>
      </c>
      <c r="K1" s="1" t="inlineStr">
        <is>
          <t>target_version</t>
        </is>
      </c>
      <c r="L1" s="1" t="inlineStr">
        <is>
          <t>target_set_at</t>
        </is>
      </c>
      <c r="M1" s="1" t="inlineStr">
        <is>
          <t>collected_at</t>
        </is>
      </c>
    </row>
    <row r="2">
      <c r="A2" s="3" t="inlineStr">
        <is>
          <t>PLAN-1-REVENUE</t>
        </is>
      </c>
      <c r="B2" s="3" t="inlineStr">
        <is>
          <t>GOAL-EXPERIENCE-2026</t>
        </is>
      </c>
      <c r="C2" s="3" t="inlineStr">
        <is>
          <t>Tingkatkan kinerja bisnis terukur sesuai indikator</t>
        </is>
      </c>
      <c r="D2" s="3" t="inlineStr">
        <is>
          <t>UNIT-MKT</t>
        </is>
      </c>
      <c r="E2" s="3" t="inlineStr">
        <is>
          <t>REVENUE</t>
        </is>
      </c>
      <c r="F2" s="3" t="inlineStr">
        <is>
          <t>IDR</t>
        </is>
      </c>
      <c r="G2" s="3" t="inlineStr">
        <is>
          <t>HIGHER_IS_BETTER</t>
        </is>
      </c>
      <c r="H2" s="3" t="inlineStr">
        <is>
          <t>2026-01-01</t>
        </is>
      </c>
      <c r="I2" s="3" t="inlineStr">
        <is>
          <t>2026-01-31</t>
        </is>
      </c>
      <c r="J2" s="4" t="n">
        <v>3000000</v>
      </c>
      <c r="K2" s="3" t="inlineStr">
        <is>
          <t>TARGET-V1-FICTITIOUS</t>
        </is>
      </c>
      <c r="L2" s="3" t="inlineStr">
        <is>
          <t>2025-12-15T09:00:00+07:00</t>
        </is>
      </c>
      <c r="M2" s="3" t="inlineStr">
        <is>
          <t>2026-03-03T09:00:00+07:00</t>
        </is>
      </c>
    </row>
    <row r="3">
      <c r="A3" s="3" t="inlineStr">
        <is>
          <t>PLAN-1-RESOLVED</t>
        </is>
      </c>
      <c r="B3" s="3" t="inlineStr">
        <is>
          <t>GOAL-EXPERIENCE-2026</t>
        </is>
      </c>
      <c r="C3" s="3" t="inlineStr">
        <is>
          <t>Tingkatkan kinerja bisnis terukur sesuai indikator</t>
        </is>
      </c>
      <c r="D3" s="3" t="inlineStr">
        <is>
          <t>UNIT-CS</t>
        </is>
      </c>
      <c r="E3" s="3" t="inlineStr">
        <is>
          <t>RESOLVED</t>
        </is>
      </c>
      <c r="F3" s="3" t="inlineStr">
        <is>
          <t>CASE</t>
        </is>
      </c>
      <c r="G3" s="3" t="inlineStr">
        <is>
          <t>HIGHER_IS_BETTER</t>
        </is>
      </c>
      <c r="H3" s="3" t="inlineStr">
        <is>
          <t>2026-01-01</t>
        </is>
      </c>
      <c r="I3" s="3" t="inlineStr">
        <is>
          <t>2026-01-31</t>
        </is>
      </c>
      <c r="J3" s="4" t="n">
        <v>30</v>
      </c>
      <c r="K3" s="3" t="inlineStr">
        <is>
          <t>TARGET-V1-FICTITIOUS</t>
        </is>
      </c>
      <c r="L3" s="3" t="inlineStr">
        <is>
          <t>2025-12-15T09:00:00+07:00</t>
        </is>
      </c>
      <c r="M3" s="3" t="inlineStr">
        <is>
          <t>2026-03-03T09:00:00+07:00</t>
        </is>
      </c>
    </row>
    <row r="4">
      <c r="A4" s="3" t="inlineStr">
        <is>
          <t>PLAN-1-RESPONSE_HOURS</t>
        </is>
      </c>
      <c r="B4" s="3" t="inlineStr">
        <is>
          <t>GOAL-EXPERIENCE-2026</t>
        </is>
      </c>
      <c r="C4" s="3" t="inlineStr">
        <is>
          <t>Tingkatkan kinerja bisnis terukur sesuai indikator</t>
        </is>
      </c>
      <c r="D4" s="3" t="inlineStr">
        <is>
          <t>UNIT-CS</t>
        </is>
      </c>
      <c r="E4" s="3" t="inlineStr">
        <is>
          <t>RESPONSE_HOURS</t>
        </is>
      </c>
      <c r="F4" s="3" t="inlineStr">
        <is>
          <t>HOUR</t>
        </is>
      </c>
      <c r="G4" s="3" t="inlineStr">
        <is>
          <t>LOWER_IS_BETTER</t>
        </is>
      </c>
      <c r="H4" s="3" t="inlineStr">
        <is>
          <t>2026-01-01</t>
        </is>
      </c>
      <c r="I4" s="3" t="inlineStr">
        <is>
          <t>2026-01-31</t>
        </is>
      </c>
      <c r="J4" s="4" t="n">
        <v>24</v>
      </c>
      <c r="K4" s="3" t="inlineStr">
        <is>
          <t>TARGET-V1-FICTITIOUS</t>
        </is>
      </c>
      <c r="L4" s="3" t="inlineStr">
        <is>
          <t>2025-12-15T09:00:00+07:00</t>
        </is>
      </c>
      <c r="M4" s="3" t="inlineStr">
        <is>
          <t>2026-03-03T09:00:00+07:00</t>
        </is>
      </c>
    </row>
    <row r="5">
      <c r="A5" s="3" t="inlineStr">
        <is>
          <t>PLAN-1-SATISFACTION</t>
        </is>
      </c>
      <c r="B5" s="3" t="inlineStr">
        <is>
          <t>GOAL-EXPERIENCE-2026</t>
        </is>
      </c>
      <c r="C5" s="3" t="inlineStr">
        <is>
          <t>Tingkatkan kinerja bisnis terukur sesuai indikator</t>
        </is>
      </c>
      <c r="D5" s="3" t="inlineStr">
        <is>
          <t>UNIT-CS</t>
        </is>
      </c>
      <c r="E5" s="3" t="inlineStr">
        <is>
          <t>SATISFACTION</t>
        </is>
      </c>
      <c r="F5" s="3" t="inlineStr">
        <is>
          <t>SCORE_1_5</t>
        </is>
      </c>
      <c r="G5" s="3" t="inlineStr">
        <is>
          <t>HIGHER_IS_BETTER</t>
        </is>
      </c>
      <c r="H5" s="3" t="inlineStr">
        <is>
          <t>2026-01-01</t>
        </is>
      </c>
      <c r="I5" s="3" t="inlineStr">
        <is>
          <t>2026-01-31</t>
        </is>
      </c>
      <c r="J5" s="4" t="n">
        <v>4</v>
      </c>
      <c r="K5" s="3" t="inlineStr">
        <is>
          <t>TARGET-V1-FICTITIOUS</t>
        </is>
      </c>
      <c r="L5" s="3" t="inlineStr">
        <is>
          <t>2025-12-15T09:00:00+07:00</t>
        </is>
      </c>
      <c r="M5" s="3" t="inlineStr">
        <is>
          <t>2026-03-03T09:00:00+07:00</t>
        </is>
      </c>
    </row>
    <row r="6">
      <c r="A6" s="3" t="inlineStr">
        <is>
          <t>PLAN-2-REVENUE</t>
        </is>
      </c>
      <c r="B6" s="3" t="inlineStr">
        <is>
          <t>GOAL-EXPERIENCE-2026</t>
        </is>
      </c>
      <c r="C6" s="3" t="inlineStr">
        <is>
          <t>Tingkatkan kinerja bisnis terukur sesuai indikator</t>
        </is>
      </c>
      <c r="D6" s="3" t="inlineStr">
        <is>
          <t>UNIT-MKT</t>
        </is>
      </c>
      <c r="E6" s="3" t="inlineStr">
        <is>
          <t>REVENUE</t>
        </is>
      </c>
      <c r="F6" s="3" t="inlineStr">
        <is>
          <t>IDR</t>
        </is>
      </c>
      <c r="G6" s="3" t="inlineStr">
        <is>
          <t>HIGHER_IS_BETTER</t>
        </is>
      </c>
      <c r="H6" s="3" t="inlineStr">
        <is>
          <t>2026-02-01</t>
        </is>
      </c>
      <c r="I6" s="3" t="inlineStr">
        <is>
          <t>2026-02-28</t>
        </is>
      </c>
      <c r="J6" s="4" t="n">
        <v>3000000</v>
      </c>
      <c r="K6" s="3" t="inlineStr">
        <is>
          <t>TARGET-V1-FICTITIOUS</t>
        </is>
      </c>
      <c r="L6" s="3" t="inlineStr">
        <is>
          <t>2025-12-15T09:00:00+07:00</t>
        </is>
      </c>
      <c r="M6" s="3" t="inlineStr">
        <is>
          <t>2026-03-03T09:00:00+07:00</t>
        </is>
      </c>
    </row>
    <row r="7">
      <c r="A7" s="3" t="inlineStr">
        <is>
          <t>PLAN-2-RESOLVED</t>
        </is>
      </c>
      <c r="B7" s="3" t="inlineStr">
        <is>
          <t>GOAL-EXPERIENCE-2026</t>
        </is>
      </c>
      <c r="C7" s="3" t="inlineStr">
        <is>
          <t>Tingkatkan kinerja bisnis terukur sesuai indikator</t>
        </is>
      </c>
      <c r="D7" s="3" t="inlineStr">
        <is>
          <t>UNIT-CS</t>
        </is>
      </c>
      <c r="E7" s="3" t="inlineStr">
        <is>
          <t>RESOLVED</t>
        </is>
      </c>
      <c r="F7" s="3" t="inlineStr">
        <is>
          <t>CASE</t>
        </is>
      </c>
      <c r="G7" s="3" t="inlineStr">
        <is>
          <t>HIGHER_IS_BETTER</t>
        </is>
      </c>
      <c r="H7" s="3" t="inlineStr">
        <is>
          <t>2026-02-01</t>
        </is>
      </c>
      <c r="I7" s="3" t="inlineStr">
        <is>
          <t>2026-02-28</t>
        </is>
      </c>
      <c r="J7" s="4" t="n">
        <v>30</v>
      </c>
      <c r="K7" s="3" t="inlineStr">
        <is>
          <t>TARGET-V1-FICTITIOUS</t>
        </is>
      </c>
      <c r="L7" s="3" t="inlineStr">
        <is>
          <t>2025-12-15T09:00:00+07:00</t>
        </is>
      </c>
      <c r="M7" s="3" t="inlineStr">
        <is>
          <t>2026-03-03T09:00:00+07:00</t>
        </is>
      </c>
    </row>
    <row r="8">
      <c r="A8" s="3" t="inlineStr">
        <is>
          <t>PLAN-2-RESPONSE_HOURS</t>
        </is>
      </c>
      <c r="B8" s="3" t="inlineStr">
        <is>
          <t>GOAL-EXPERIENCE-2026</t>
        </is>
      </c>
      <c r="C8" s="3" t="inlineStr">
        <is>
          <t>Tingkatkan kinerja bisnis terukur sesuai indikator</t>
        </is>
      </c>
      <c r="D8" s="3" t="inlineStr">
        <is>
          <t>UNIT-CS</t>
        </is>
      </c>
      <c r="E8" s="3" t="inlineStr">
        <is>
          <t>RESPONSE_HOURS</t>
        </is>
      </c>
      <c r="F8" s="3" t="inlineStr">
        <is>
          <t>HOUR</t>
        </is>
      </c>
      <c r="G8" s="3" t="inlineStr">
        <is>
          <t>LOWER_IS_BETTER</t>
        </is>
      </c>
      <c r="H8" s="3" t="inlineStr">
        <is>
          <t>2026-02-01</t>
        </is>
      </c>
      <c r="I8" s="3" t="inlineStr">
        <is>
          <t>2026-02-28</t>
        </is>
      </c>
      <c r="J8" s="4" t="n">
        <v>24</v>
      </c>
      <c r="K8" s="3" t="inlineStr">
        <is>
          <t>TARGET-V1-FICTITIOUS</t>
        </is>
      </c>
      <c r="L8" s="3" t="inlineStr">
        <is>
          <t>2025-12-15T09:00:00+07:00</t>
        </is>
      </c>
      <c r="M8" s="3" t="inlineStr">
        <is>
          <t>2026-03-03T09:00:00+07:00</t>
        </is>
      </c>
    </row>
    <row r="9">
      <c r="A9" s="3" t="inlineStr">
        <is>
          <t>PLAN-2-SATISFACTION</t>
        </is>
      </c>
      <c r="B9" s="3" t="inlineStr">
        <is>
          <t>GOAL-EXPERIENCE-2026</t>
        </is>
      </c>
      <c r="C9" s="3" t="inlineStr">
        <is>
          <t>Tingkatkan kinerja bisnis terukur sesuai indikator</t>
        </is>
      </c>
      <c r="D9" s="3" t="inlineStr">
        <is>
          <t>UNIT-CS</t>
        </is>
      </c>
      <c r="E9" s="3" t="inlineStr">
        <is>
          <t>SATISFACTION</t>
        </is>
      </c>
      <c r="F9" s="3" t="inlineStr">
        <is>
          <t>SCORE_1_5</t>
        </is>
      </c>
      <c r="G9" s="3" t="inlineStr">
        <is>
          <t>HIGHER_IS_BETTER</t>
        </is>
      </c>
      <c r="H9" s="3" t="inlineStr">
        <is>
          <t>2026-02-01</t>
        </is>
      </c>
      <c r="I9" s="3" t="inlineStr">
        <is>
          <t>2026-02-28</t>
        </is>
      </c>
      <c r="J9" s="4" t="n">
        <v>4</v>
      </c>
      <c r="K9" s="3" t="inlineStr">
        <is>
          <t>TARGET-V1-FICTITIOUS</t>
        </is>
      </c>
      <c r="L9" s="3" t="inlineStr">
        <is>
          <t>2025-12-15T09:00:00+07:00</t>
        </is>
      </c>
      <c r="M9" s="3" t="inlineStr">
        <is>
          <t>2026-03-03T09:00:00+07:00</t>
        </is>
      </c>
    </row>
  </sheetData>
  <autoFilter ref="A1:M9"/>
  <dataValidations count="2">
    <dataValidation sqref="D2:D1001" showDropDown="0" showInputMessage="0" showErrorMessage="1" allowBlank="0" errorTitle="Kode belum ada di master" error="Pilih kode rujukan yang sah; master baru harus direview sebelum dipakai." type="list">
      <formula1>=REF_unit_code</formula1>
    </dataValidation>
    <dataValidation sqref="E2:E1001" showDropDown="0" showInputMessage="0" showErrorMessage="1" allowBlank="0" errorTitle="Kode belum ada di master" error="Pilih kode rujukan yang sah; master baru harus direview sebelum dipakai." type="list">
      <formula1>=REF_indicator_code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2563EB"/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9" customWidth="1" min="7" max="7"/>
    <col width="18" customWidth="1" min="8" max="8"/>
    <col width="18" customWidth="1" min="9" max="9"/>
    <col width="18" customWidth="1" min="10" max="10"/>
  </cols>
  <sheetData>
    <row r="1" ht="32" customHeight="1">
      <c r="A1" s="1" t="inlineStr">
        <is>
          <t>measurement_id</t>
        </is>
      </c>
      <c r="B1" s="1" t="inlineStr">
        <is>
          <t>plan_id</t>
        </is>
      </c>
      <c r="C1" s="1" t="inlineStr">
        <is>
          <t>unit_code</t>
        </is>
      </c>
      <c r="D1" s="1" t="inlineStr">
        <is>
          <t>indicator_code</t>
        </is>
      </c>
      <c r="E1" s="1" t="inlineStr">
        <is>
          <t>measured_at</t>
        </is>
      </c>
      <c r="F1" s="1" t="inlineStr">
        <is>
          <t>measured_value</t>
        </is>
      </c>
      <c r="G1" s="1" t="inlineStr">
        <is>
          <t>measurement_unit</t>
        </is>
      </c>
      <c r="H1" s="1" t="inlineStr">
        <is>
          <t>evidence_ref</t>
        </is>
      </c>
      <c r="I1" s="1" t="inlineStr">
        <is>
          <t>method_version</t>
        </is>
      </c>
      <c r="J1" s="1" t="inlineStr">
        <is>
          <t>collected_at</t>
        </is>
      </c>
    </row>
    <row r="2">
      <c r="A2" s="3" t="inlineStr">
        <is>
          <t>MEAS-1-0-0</t>
        </is>
      </c>
      <c r="B2" s="3" t="inlineStr">
        <is>
          <t>PLAN-1-REVENUE</t>
        </is>
      </c>
      <c r="C2" s="3" t="inlineStr">
        <is>
          <t>UNIT-MKT</t>
        </is>
      </c>
      <c r="D2" s="3" t="inlineStr">
        <is>
          <t>REVENUE</t>
        </is>
      </c>
      <c r="E2" s="3" t="inlineStr">
        <is>
          <t>2026-01-12T09:00:00+07:00</t>
        </is>
      </c>
      <c r="F2" s="4" t="n">
        <v>700000</v>
      </c>
      <c r="G2" s="3" t="inlineStr">
        <is>
          <t>IDR</t>
        </is>
      </c>
      <c r="H2" s="3" t="inlineStr">
        <is>
          <t>SIMULASI-MEAS-1-0-0</t>
        </is>
      </c>
      <c r="I2" s="3" t="inlineStr">
        <is>
          <t>METHOD-V1</t>
        </is>
      </c>
      <c r="J2" s="3" t="inlineStr">
        <is>
          <t>2026-03-03T09:00:00+07:00</t>
        </is>
      </c>
    </row>
    <row r="3">
      <c r="A3" s="3" t="inlineStr">
        <is>
          <t>MEAS-1-0-1</t>
        </is>
      </c>
      <c r="B3" s="3" t="inlineStr">
        <is>
          <t>PLAN-1-REVENUE</t>
        </is>
      </c>
      <c r="C3" s="3" t="inlineStr">
        <is>
          <t>UNIT-MKT</t>
        </is>
      </c>
      <c r="D3" s="3" t="inlineStr">
        <is>
          <t>REVENUE</t>
        </is>
      </c>
      <c r="E3" s="3" t="inlineStr">
        <is>
          <t>2026-01-13T09:00:00+07:00</t>
        </is>
      </c>
      <c r="F3" s="4" t="n">
        <v>800000</v>
      </c>
      <c r="G3" s="3" t="inlineStr">
        <is>
          <t>IDR</t>
        </is>
      </c>
      <c r="H3" s="3" t="inlineStr">
        <is>
          <t>SIMULASI-MEAS-1-0-1</t>
        </is>
      </c>
      <c r="I3" s="3" t="inlineStr">
        <is>
          <t>METHOD-V1</t>
        </is>
      </c>
      <c r="J3" s="3" t="inlineStr">
        <is>
          <t>2026-03-03T09:00:00+07:00</t>
        </is>
      </c>
    </row>
    <row r="4">
      <c r="A4" s="3" t="inlineStr">
        <is>
          <t>MEAS-1-0-2</t>
        </is>
      </c>
      <c r="B4" s="3" t="inlineStr">
        <is>
          <t>PLAN-1-REVENUE</t>
        </is>
      </c>
      <c r="C4" s="3" t="inlineStr">
        <is>
          <t>UNIT-MKT</t>
        </is>
      </c>
      <c r="D4" s="3" t="inlineStr">
        <is>
          <t>REVENUE</t>
        </is>
      </c>
      <c r="E4" s="3" t="inlineStr">
        <is>
          <t>2026-01-14T09:00:00+07:00</t>
        </is>
      </c>
      <c r="F4" s="4" t="n">
        <v>900000</v>
      </c>
      <c r="G4" s="3" t="inlineStr">
        <is>
          <t>IDR</t>
        </is>
      </c>
      <c r="H4" s="3" t="inlineStr">
        <is>
          <t>SIMULASI-MEAS-1-0-2</t>
        </is>
      </c>
      <c r="I4" s="3" t="inlineStr">
        <is>
          <t>METHOD-V1</t>
        </is>
      </c>
      <c r="J4" s="3" t="inlineStr">
        <is>
          <t>2026-03-03T09:00:00+07:00</t>
        </is>
      </c>
    </row>
    <row r="5">
      <c r="A5" s="3" t="inlineStr">
        <is>
          <t>MEAS-1-1-0</t>
        </is>
      </c>
      <c r="B5" s="3" t="inlineStr">
        <is>
          <t>PLAN-1-RESOLVED</t>
        </is>
      </c>
      <c r="C5" s="3" t="inlineStr">
        <is>
          <t>UNIT-CS</t>
        </is>
      </c>
      <c r="D5" s="3" t="inlineStr">
        <is>
          <t>RESOLVED</t>
        </is>
      </c>
      <c r="E5" s="3" t="inlineStr">
        <is>
          <t>2026-01-12T09:00:00+07:00</t>
        </is>
      </c>
      <c r="F5" s="4" t="n">
        <v>7</v>
      </c>
      <c r="G5" s="3" t="inlineStr">
        <is>
          <t>CASE</t>
        </is>
      </c>
      <c r="H5" s="3" t="inlineStr">
        <is>
          <t>SIMULASI-MEAS-1-1-0</t>
        </is>
      </c>
      <c r="I5" s="3" t="inlineStr">
        <is>
          <t>METHOD-V1</t>
        </is>
      </c>
      <c r="J5" s="3" t="inlineStr">
        <is>
          <t>2026-03-03T09:00:00+07:00</t>
        </is>
      </c>
    </row>
    <row r="6">
      <c r="A6" s="3" t="inlineStr">
        <is>
          <t>MEAS-1-1-1</t>
        </is>
      </c>
      <c r="B6" s="3" t="inlineStr">
        <is>
          <t>PLAN-1-RESOLVED</t>
        </is>
      </c>
      <c r="C6" s="3" t="inlineStr">
        <is>
          <t>UNIT-CS</t>
        </is>
      </c>
      <c r="D6" s="3" t="inlineStr">
        <is>
          <t>RESOLVED</t>
        </is>
      </c>
      <c r="E6" s="3" t="inlineStr">
        <is>
          <t>2026-01-13T09:00:00+07:00</t>
        </is>
      </c>
      <c r="F6" s="4" t="n">
        <v>8</v>
      </c>
      <c r="G6" s="3" t="inlineStr">
        <is>
          <t>CASE</t>
        </is>
      </c>
      <c r="H6" s="3" t="inlineStr">
        <is>
          <t>SIMULASI-MEAS-1-1-1</t>
        </is>
      </c>
      <c r="I6" s="3" t="inlineStr">
        <is>
          <t>METHOD-V1</t>
        </is>
      </c>
      <c r="J6" s="3" t="inlineStr">
        <is>
          <t>2026-03-03T09:00:00+07:00</t>
        </is>
      </c>
    </row>
    <row r="7">
      <c r="A7" s="3" t="inlineStr">
        <is>
          <t>MEAS-1-1-2</t>
        </is>
      </c>
      <c r="B7" s="3" t="inlineStr">
        <is>
          <t>PLAN-1-RESOLVED</t>
        </is>
      </c>
      <c r="C7" s="3" t="inlineStr">
        <is>
          <t>UNIT-CS</t>
        </is>
      </c>
      <c r="D7" s="3" t="inlineStr">
        <is>
          <t>RESOLVED</t>
        </is>
      </c>
      <c r="E7" s="3" t="inlineStr">
        <is>
          <t>2026-01-14T09:00:00+07:00</t>
        </is>
      </c>
      <c r="F7" s="4" t="n">
        <v>9</v>
      </c>
      <c r="G7" s="3" t="inlineStr">
        <is>
          <t>CASE</t>
        </is>
      </c>
      <c r="H7" s="3" t="inlineStr">
        <is>
          <t>SIMULASI-MEAS-1-1-2</t>
        </is>
      </c>
      <c r="I7" s="3" t="inlineStr">
        <is>
          <t>METHOD-V1</t>
        </is>
      </c>
      <c r="J7" s="3" t="inlineStr">
        <is>
          <t>2026-03-03T09:00:00+07:00</t>
        </is>
      </c>
    </row>
    <row r="8">
      <c r="A8" s="3" t="inlineStr">
        <is>
          <t>MEAS-1-2-0</t>
        </is>
      </c>
      <c r="B8" s="3" t="inlineStr">
        <is>
          <t>PLAN-1-RESPONSE_HOURS</t>
        </is>
      </c>
      <c r="C8" s="3" t="inlineStr">
        <is>
          <t>UNIT-CS</t>
        </is>
      </c>
      <c r="D8" s="3" t="inlineStr">
        <is>
          <t>RESPONSE_HOURS</t>
        </is>
      </c>
      <c r="E8" s="3" t="inlineStr">
        <is>
          <t>2026-01-12T09:00:00+07:00</t>
        </is>
      </c>
      <c r="F8" s="4" t="n">
        <v>28</v>
      </c>
      <c r="G8" s="3" t="inlineStr">
        <is>
          <t>HOUR</t>
        </is>
      </c>
      <c r="H8" s="3" t="inlineStr">
        <is>
          <t>SIMULASI-MEAS-1-2-0</t>
        </is>
      </c>
      <c r="I8" s="3" t="inlineStr">
        <is>
          <t>METHOD-V1</t>
        </is>
      </c>
      <c r="J8" s="3" t="inlineStr">
        <is>
          <t>2026-03-03T09:00:00+07:00</t>
        </is>
      </c>
    </row>
    <row r="9">
      <c r="A9" s="3" t="inlineStr">
        <is>
          <t>MEAS-1-2-1</t>
        </is>
      </c>
      <c r="B9" s="3" t="inlineStr">
        <is>
          <t>PLAN-1-RESPONSE_HOURS</t>
        </is>
      </c>
      <c r="C9" s="3" t="inlineStr">
        <is>
          <t>UNIT-CS</t>
        </is>
      </c>
      <c r="D9" s="3" t="inlineStr">
        <is>
          <t>RESPONSE_HOURS</t>
        </is>
      </c>
      <c r="E9" s="3" t="inlineStr">
        <is>
          <t>2026-01-13T09:00:00+07:00</t>
        </is>
      </c>
      <c r="F9" s="4" t="n">
        <v>30</v>
      </c>
      <c r="G9" s="3" t="inlineStr">
        <is>
          <t>HOUR</t>
        </is>
      </c>
      <c r="H9" s="3" t="inlineStr">
        <is>
          <t>SIMULASI-MEAS-1-2-1</t>
        </is>
      </c>
      <c r="I9" s="3" t="inlineStr">
        <is>
          <t>METHOD-V1</t>
        </is>
      </c>
      <c r="J9" s="3" t="inlineStr">
        <is>
          <t>2026-03-03T09:00:00+07:00</t>
        </is>
      </c>
    </row>
    <row r="10">
      <c r="A10" s="3" t="inlineStr">
        <is>
          <t>MEAS-1-2-2</t>
        </is>
      </c>
      <c r="B10" s="3" t="inlineStr">
        <is>
          <t>PLAN-1-RESPONSE_HOURS</t>
        </is>
      </c>
      <c r="C10" s="3" t="inlineStr">
        <is>
          <t>UNIT-CS</t>
        </is>
      </c>
      <c r="D10" s="3" t="inlineStr">
        <is>
          <t>RESPONSE_HOURS</t>
        </is>
      </c>
      <c r="E10" s="3" t="inlineStr">
        <is>
          <t>2026-01-14T09:00:00+07:00</t>
        </is>
      </c>
      <c r="F10" s="4" t="n">
        <v>32</v>
      </c>
      <c r="G10" s="3" t="inlineStr">
        <is>
          <t>HOUR</t>
        </is>
      </c>
      <c r="H10" s="3" t="inlineStr">
        <is>
          <t>SIMULASI-MEAS-1-2-2</t>
        </is>
      </c>
      <c r="I10" s="3" t="inlineStr">
        <is>
          <t>METHOD-V1</t>
        </is>
      </c>
      <c r="J10" s="3" t="inlineStr">
        <is>
          <t>2026-03-03T09:00:00+07:00</t>
        </is>
      </c>
    </row>
    <row r="11">
      <c r="A11" s="3" t="inlineStr">
        <is>
          <t>MEAS-1-3-0</t>
        </is>
      </c>
      <c r="B11" s="3" t="inlineStr">
        <is>
          <t>PLAN-1-SATISFACTION</t>
        </is>
      </c>
      <c r="C11" s="3" t="inlineStr">
        <is>
          <t>UNIT-CS</t>
        </is>
      </c>
      <c r="D11" s="3" t="inlineStr">
        <is>
          <t>SATISFACTION</t>
        </is>
      </c>
      <c r="E11" s="3" t="inlineStr">
        <is>
          <t>2026-01-12T09:00:00+07:00</t>
        </is>
      </c>
      <c r="F11" s="4" t="n">
        <v>3</v>
      </c>
      <c r="G11" s="3" t="inlineStr">
        <is>
          <t>SCORE_1_5</t>
        </is>
      </c>
      <c r="H11" s="3" t="inlineStr">
        <is>
          <t>SIMULASI-MEAS-1-3-0</t>
        </is>
      </c>
      <c r="I11" s="3" t="inlineStr">
        <is>
          <t>METHOD-V1</t>
        </is>
      </c>
      <c r="J11" s="3" t="inlineStr">
        <is>
          <t>2026-03-03T09:00:00+07:00</t>
        </is>
      </c>
    </row>
    <row r="12">
      <c r="A12" s="3" t="inlineStr">
        <is>
          <t>MEAS-1-3-1</t>
        </is>
      </c>
      <c r="B12" s="3" t="inlineStr">
        <is>
          <t>PLAN-1-SATISFACTION</t>
        </is>
      </c>
      <c r="C12" s="3" t="inlineStr">
        <is>
          <t>UNIT-CS</t>
        </is>
      </c>
      <c r="D12" s="3" t="inlineStr">
        <is>
          <t>SATISFACTION</t>
        </is>
      </c>
      <c r="E12" s="3" t="inlineStr">
        <is>
          <t>2026-01-13T09:00:00+07:00</t>
        </is>
      </c>
      <c r="F12" s="4" t="n">
        <v>4</v>
      </c>
      <c r="G12" s="3" t="inlineStr">
        <is>
          <t>SCORE_1_5</t>
        </is>
      </c>
      <c r="H12" s="3" t="inlineStr">
        <is>
          <t>SIMULASI-MEAS-1-3-1</t>
        </is>
      </c>
      <c r="I12" s="3" t="inlineStr">
        <is>
          <t>METHOD-V1</t>
        </is>
      </c>
      <c r="J12" s="3" t="inlineStr">
        <is>
          <t>2026-03-03T09:00:00+07:00</t>
        </is>
      </c>
    </row>
    <row r="13">
      <c r="A13" s="3" t="inlineStr">
        <is>
          <t>MEAS-1-3-2</t>
        </is>
      </c>
      <c r="B13" s="3" t="inlineStr">
        <is>
          <t>PLAN-1-SATISFACTION</t>
        </is>
      </c>
      <c r="C13" s="3" t="inlineStr">
        <is>
          <t>UNIT-CS</t>
        </is>
      </c>
      <c r="D13" s="3" t="inlineStr">
        <is>
          <t>SATISFACTION</t>
        </is>
      </c>
      <c r="E13" s="3" t="inlineStr">
        <is>
          <t>2026-01-14T09:00:00+07:00</t>
        </is>
      </c>
      <c r="F13" s="4" t="n">
        <v>3</v>
      </c>
      <c r="G13" s="3" t="inlineStr">
        <is>
          <t>SCORE_1_5</t>
        </is>
      </c>
      <c r="H13" s="3" t="inlineStr">
        <is>
          <t>SIMULASI-MEAS-1-3-2</t>
        </is>
      </c>
      <c r="I13" s="3" t="inlineStr">
        <is>
          <t>METHOD-V1</t>
        </is>
      </c>
      <c r="J13" s="3" t="inlineStr">
        <is>
          <t>2026-03-03T09:00:00+07:00</t>
        </is>
      </c>
    </row>
    <row r="14">
      <c r="A14" s="3" t="inlineStr">
        <is>
          <t>MEAS-2-0-0</t>
        </is>
      </c>
      <c r="B14" s="3" t="inlineStr">
        <is>
          <t>PLAN-2-REVENUE</t>
        </is>
      </c>
      <c r="C14" s="3" t="inlineStr">
        <is>
          <t>UNIT-MKT</t>
        </is>
      </c>
      <c r="D14" s="3" t="inlineStr">
        <is>
          <t>REVENUE</t>
        </is>
      </c>
      <c r="E14" s="3" t="inlineStr">
        <is>
          <t>2026-02-12T09:00:00+07:00</t>
        </is>
      </c>
      <c r="F14" s="4" t="n">
        <v>770000</v>
      </c>
      <c r="G14" s="3" t="inlineStr">
        <is>
          <t>IDR</t>
        </is>
      </c>
      <c r="H14" s="3" t="inlineStr">
        <is>
          <t>SIMULASI-MEAS-2-0-0</t>
        </is>
      </c>
      <c r="I14" s="3" t="inlineStr">
        <is>
          <t>METHOD-V1</t>
        </is>
      </c>
      <c r="J14" s="3" t="inlineStr">
        <is>
          <t>2026-03-03T09:00:00+07:00</t>
        </is>
      </c>
    </row>
    <row r="15">
      <c r="A15" s="3" t="inlineStr">
        <is>
          <t>MEAS-2-0-1</t>
        </is>
      </c>
      <c r="B15" s="3" t="inlineStr">
        <is>
          <t>PLAN-2-REVENUE</t>
        </is>
      </c>
      <c r="C15" s="3" t="inlineStr">
        <is>
          <t>UNIT-MKT</t>
        </is>
      </c>
      <c r="D15" s="3" t="inlineStr">
        <is>
          <t>REVENUE</t>
        </is>
      </c>
      <c r="E15" s="3" t="inlineStr">
        <is>
          <t>2026-02-13T09:00:00+07:00</t>
        </is>
      </c>
      <c r="F15" s="4" t="n">
        <v>880000</v>
      </c>
      <c r="G15" s="3" t="inlineStr">
        <is>
          <t>IDR</t>
        </is>
      </c>
      <c r="H15" s="3" t="inlineStr">
        <is>
          <t>SIMULASI-MEAS-2-0-1</t>
        </is>
      </c>
      <c r="I15" s="3" t="inlineStr">
        <is>
          <t>METHOD-V1</t>
        </is>
      </c>
      <c r="J15" s="3" t="inlineStr">
        <is>
          <t>2026-03-03T09:00:00+07:00</t>
        </is>
      </c>
    </row>
    <row r="16">
      <c r="A16" s="3" t="inlineStr">
        <is>
          <t>MEAS-2-0-2</t>
        </is>
      </c>
      <c r="B16" s="3" t="inlineStr">
        <is>
          <t>PLAN-2-REVENUE</t>
        </is>
      </c>
      <c r="C16" s="3" t="inlineStr">
        <is>
          <t>UNIT-MKT</t>
        </is>
      </c>
      <c r="D16" s="3" t="inlineStr">
        <is>
          <t>REVENUE</t>
        </is>
      </c>
      <c r="E16" s="3" t="inlineStr">
        <is>
          <t>2026-02-14T09:00:00+07:00</t>
        </is>
      </c>
      <c r="F16" s="4" t="n">
        <v>990000</v>
      </c>
      <c r="G16" s="3" t="inlineStr">
        <is>
          <t>IDR</t>
        </is>
      </c>
      <c r="H16" s="3" t="inlineStr">
        <is>
          <t>SIMULASI-MEAS-2-0-2</t>
        </is>
      </c>
      <c r="I16" s="3" t="inlineStr">
        <is>
          <t>METHOD-V1</t>
        </is>
      </c>
      <c r="J16" s="3" t="inlineStr">
        <is>
          <t>2026-03-03T09:00:00+07:00</t>
        </is>
      </c>
    </row>
    <row r="17">
      <c r="A17" s="3" t="inlineStr">
        <is>
          <t>MEAS-2-1-0</t>
        </is>
      </c>
      <c r="B17" s="3" t="inlineStr">
        <is>
          <t>PLAN-2-RESOLVED</t>
        </is>
      </c>
      <c r="C17" s="3" t="inlineStr">
        <is>
          <t>UNIT-CS</t>
        </is>
      </c>
      <c r="D17" s="3" t="inlineStr">
        <is>
          <t>RESOLVED</t>
        </is>
      </c>
      <c r="E17" s="3" t="inlineStr">
        <is>
          <t>2026-02-12T09:00:00+07:00</t>
        </is>
      </c>
      <c r="F17" s="4" t="n">
        <v>8</v>
      </c>
      <c r="G17" s="3" t="inlineStr">
        <is>
          <t>CASE</t>
        </is>
      </c>
      <c r="H17" s="3" t="inlineStr">
        <is>
          <t>SIMULASI-MEAS-2-1-0</t>
        </is>
      </c>
      <c r="I17" s="3" t="inlineStr">
        <is>
          <t>METHOD-V1</t>
        </is>
      </c>
      <c r="J17" s="3" t="inlineStr">
        <is>
          <t>2026-03-03T09:00:00+07:00</t>
        </is>
      </c>
    </row>
    <row r="18">
      <c r="A18" s="3" t="inlineStr">
        <is>
          <t>MEAS-2-1-1</t>
        </is>
      </c>
      <c r="B18" s="3" t="inlineStr">
        <is>
          <t>PLAN-2-RESOLVED</t>
        </is>
      </c>
      <c r="C18" s="3" t="inlineStr">
        <is>
          <t>UNIT-CS</t>
        </is>
      </c>
      <c r="D18" s="3" t="inlineStr">
        <is>
          <t>RESOLVED</t>
        </is>
      </c>
      <c r="E18" s="3" t="inlineStr">
        <is>
          <t>2026-02-13T09:00:00+07:00</t>
        </is>
      </c>
      <c r="F18" s="4" t="n">
        <v>9</v>
      </c>
      <c r="G18" s="3" t="inlineStr">
        <is>
          <t>CASE</t>
        </is>
      </c>
      <c r="H18" s="3" t="inlineStr">
        <is>
          <t>SIMULASI-MEAS-2-1-1</t>
        </is>
      </c>
      <c r="I18" s="3" t="inlineStr">
        <is>
          <t>METHOD-V1</t>
        </is>
      </c>
      <c r="J18" s="3" t="inlineStr">
        <is>
          <t>2026-03-03T09:00:00+07:00</t>
        </is>
      </c>
    </row>
    <row r="19">
      <c r="A19" s="3" t="inlineStr">
        <is>
          <t>MEAS-2-1-2</t>
        </is>
      </c>
      <c r="B19" s="3" t="inlineStr">
        <is>
          <t>PLAN-2-RESOLVED</t>
        </is>
      </c>
      <c r="C19" s="3" t="inlineStr">
        <is>
          <t>UNIT-CS</t>
        </is>
      </c>
      <c r="D19" s="3" t="inlineStr">
        <is>
          <t>RESOLVED</t>
        </is>
      </c>
      <c r="E19" s="3" t="inlineStr">
        <is>
          <t>2026-02-14T09:00:00+07:00</t>
        </is>
      </c>
      <c r="F19" s="4" t="n">
        <v>10</v>
      </c>
      <c r="G19" s="3" t="inlineStr">
        <is>
          <t>CASE</t>
        </is>
      </c>
      <c r="H19" s="3" t="inlineStr">
        <is>
          <t>SIMULASI-MEAS-2-1-2</t>
        </is>
      </c>
      <c r="I19" s="3" t="inlineStr">
        <is>
          <t>METHOD-V1</t>
        </is>
      </c>
      <c r="J19" s="3" t="inlineStr">
        <is>
          <t>2026-03-03T09:00:00+07:00</t>
        </is>
      </c>
    </row>
    <row r="20">
      <c r="A20" s="3" t="inlineStr">
        <is>
          <t>MEAS-2-2-0</t>
        </is>
      </c>
      <c r="B20" s="3" t="inlineStr">
        <is>
          <t>PLAN-2-RESPONSE_HOURS</t>
        </is>
      </c>
      <c r="C20" s="3" t="inlineStr">
        <is>
          <t>UNIT-CS</t>
        </is>
      </c>
      <c r="D20" s="3" t="inlineStr">
        <is>
          <t>RESPONSE_HOURS</t>
        </is>
      </c>
      <c r="E20" s="3" t="inlineStr">
        <is>
          <t>2026-02-12T09:00:00+07:00</t>
        </is>
      </c>
      <c r="F20" s="4" t="n">
        <v>22.4</v>
      </c>
      <c r="G20" s="3" t="inlineStr">
        <is>
          <t>HOUR</t>
        </is>
      </c>
      <c r="H20" s="3" t="inlineStr">
        <is>
          <t>SIMULASI-MEAS-2-2-0</t>
        </is>
      </c>
      <c r="I20" s="3" t="inlineStr">
        <is>
          <t>METHOD-V1</t>
        </is>
      </c>
      <c r="J20" s="3" t="inlineStr">
        <is>
          <t>2026-03-03T09:00:00+07:00</t>
        </is>
      </c>
    </row>
    <row r="21">
      <c r="A21" s="3" t="inlineStr">
        <is>
          <t>MEAS-2-2-1</t>
        </is>
      </c>
      <c r="B21" s="3" t="inlineStr">
        <is>
          <t>PLAN-2-RESPONSE_HOURS</t>
        </is>
      </c>
      <c r="C21" s="3" t="inlineStr">
        <is>
          <t>UNIT-CS</t>
        </is>
      </c>
      <c r="D21" s="3" t="inlineStr">
        <is>
          <t>RESPONSE_HOURS</t>
        </is>
      </c>
      <c r="E21" s="3" t="inlineStr">
        <is>
          <t>2026-02-13T09:00:00+07:00</t>
        </is>
      </c>
      <c r="F21" s="4" t="n">
        <v>24</v>
      </c>
      <c r="G21" s="3" t="inlineStr">
        <is>
          <t>HOUR</t>
        </is>
      </c>
      <c r="H21" s="3" t="inlineStr">
        <is>
          <t>SIMULASI-MEAS-2-2-1</t>
        </is>
      </c>
      <c r="I21" s="3" t="inlineStr">
        <is>
          <t>METHOD-V1</t>
        </is>
      </c>
      <c r="J21" s="3" t="inlineStr">
        <is>
          <t>2026-03-03T09:00:00+07:00</t>
        </is>
      </c>
    </row>
    <row r="22">
      <c r="A22" s="3" t="inlineStr">
        <is>
          <t>MEAS-2-2-2</t>
        </is>
      </c>
      <c r="B22" s="3" t="inlineStr">
        <is>
          <t>PLAN-2-RESPONSE_HOURS</t>
        </is>
      </c>
      <c r="C22" s="3" t="inlineStr">
        <is>
          <t>UNIT-CS</t>
        </is>
      </c>
      <c r="D22" s="3" t="inlineStr">
        <is>
          <t>RESPONSE_HOURS</t>
        </is>
      </c>
      <c r="E22" s="3" t="inlineStr">
        <is>
          <t>2026-02-14T09:00:00+07:00</t>
        </is>
      </c>
      <c r="F22" s="4" t="n">
        <v>25.6</v>
      </c>
      <c r="G22" s="3" t="inlineStr">
        <is>
          <t>HOUR</t>
        </is>
      </c>
      <c r="H22" s="3" t="inlineStr">
        <is>
          <t>SIMULASI-MEAS-2-2-2</t>
        </is>
      </c>
      <c r="I22" s="3" t="inlineStr">
        <is>
          <t>METHOD-V1</t>
        </is>
      </c>
      <c r="J22" s="3" t="inlineStr">
        <is>
          <t>2026-03-03T09:00:00+07:00</t>
        </is>
      </c>
    </row>
    <row r="23">
      <c r="A23" s="3" t="inlineStr">
        <is>
          <t>MEAS-2-3-0</t>
        </is>
      </c>
      <c r="B23" s="3" t="inlineStr">
        <is>
          <t>PLAN-2-SATISFACTION</t>
        </is>
      </c>
      <c r="C23" s="3" t="inlineStr">
        <is>
          <t>UNIT-CS</t>
        </is>
      </c>
      <c r="D23" s="3" t="inlineStr">
        <is>
          <t>SATISFACTION</t>
        </is>
      </c>
      <c r="E23" s="3" t="inlineStr">
        <is>
          <t>2026-02-12T09:00:00+07:00</t>
        </is>
      </c>
      <c r="F23" s="4" t="n">
        <v>3.3</v>
      </c>
      <c r="G23" s="3" t="inlineStr">
        <is>
          <t>SCORE_1_5</t>
        </is>
      </c>
      <c r="H23" s="3" t="inlineStr">
        <is>
          <t>SIMULASI-MEAS-2-3-0</t>
        </is>
      </c>
      <c r="I23" s="3" t="inlineStr">
        <is>
          <t>METHOD-V1</t>
        </is>
      </c>
      <c r="J23" s="3" t="inlineStr">
        <is>
          <t>2026-03-03T09:00:00+07:00</t>
        </is>
      </c>
    </row>
    <row r="24">
      <c r="A24" s="3" t="inlineStr">
        <is>
          <t>MEAS-2-3-1</t>
        </is>
      </c>
      <c r="B24" s="3" t="inlineStr">
        <is>
          <t>PLAN-2-SATISFACTION</t>
        </is>
      </c>
      <c r="C24" s="3" t="inlineStr">
        <is>
          <t>UNIT-CS</t>
        </is>
      </c>
      <c r="D24" s="3" t="inlineStr">
        <is>
          <t>SATISFACTION</t>
        </is>
      </c>
      <c r="E24" s="3" t="inlineStr">
        <is>
          <t>2026-02-13T09:00:00+07:00</t>
        </is>
      </c>
      <c r="F24" s="4" t="n">
        <v>4.4</v>
      </c>
      <c r="G24" s="3" t="inlineStr">
        <is>
          <t>SCORE_1_5</t>
        </is>
      </c>
      <c r="H24" s="3" t="inlineStr">
        <is>
          <t>SIMULASI-MEAS-2-3-1</t>
        </is>
      </c>
      <c r="I24" s="3" t="inlineStr">
        <is>
          <t>METHOD-V1</t>
        </is>
      </c>
      <c r="J24" s="3" t="inlineStr">
        <is>
          <t>2026-03-03T09:00:00+07:00</t>
        </is>
      </c>
    </row>
    <row r="25">
      <c r="A25" s="3" t="inlineStr">
        <is>
          <t>MEAS-2-3-2</t>
        </is>
      </c>
      <c r="B25" s="3" t="inlineStr">
        <is>
          <t>PLAN-2-SATISFACTION</t>
        </is>
      </c>
      <c r="C25" s="3" t="inlineStr">
        <is>
          <t>UNIT-CS</t>
        </is>
      </c>
      <c r="D25" s="3" t="inlineStr">
        <is>
          <t>SATISFACTION</t>
        </is>
      </c>
      <c r="E25" s="3" t="inlineStr">
        <is>
          <t>2026-02-14T09:00:00+07:00</t>
        </is>
      </c>
      <c r="F25" s="4" t="n">
        <v>3.3</v>
      </c>
      <c r="G25" s="3" t="inlineStr">
        <is>
          <t>SCORE_1_5</t>
        </is>
      </c>
      <c r="H25" s="3" t="inlineStr">
        <is>
          <t>SIMULASI-MEAS-2-3-2</t>
        </is>
      </c>
      <c r="I25" s="3" t="inlineStr">
        <is>
          <t>METHOD-V1</t>
        </is>
      </c>
      <c r="J25" s="3" t="inlineStr">
        <is>
          <t>2026-03-03T09:00:00+07:00</t>
        </is>
      </c>
    </row>
  </sheetData>
  <autoFilter ref="A1:J25"/>
  <dataValidations count="2">
    <dataValidation sqref="C2:C1001" showDropDown="0" showInputMessage="0" showErrorMessage="1" allowBlank="0" errorTitle="Kode belum ada di master" error="Pilih kode rujukan yang sah; master baru harus direview sebelum dipakai." type="list">
      <formula1>=REF_unit_code</formula1>
    </dataValidation>
    <dataValidation sqref="D2:D1001" showDropDown="0" showInputMessage="0" showErrorMessage="1" allowBlank="0" errorTitle="Kode belum ada di master" error="Pilih kode rujukan yang sah; master baru harus direview sebelum dipakai." type="list">
      <formula1>=REF_indicator_code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s:worksheet xmlns:r="http://schemas.openxmlformats.org/officeDocument/2006/relationships" xmlns:s="http://schemas.openxmlformats.org/spreadsheetml/2006/main">
  <s:sheetPr>
    <s:tabColor rgb="002563EB"/>
    <s:outlinePr summaryBelow="1" summaryRight="1"/>
    <s:pageSetUpPr/>
  </s:sheetPr>
  <s:dimension ref="A1:S9"/>
  <s:sheetViews>
    <s:sheetView workbookViewId="0">
      <s:pane ySplit="1" topLeftCell="A2" activePane="bottomLeft" state="frozen"/>
      <s:selection pane="bottomLeft" activeCell="A1" sqref="A1"/>
    </s:sheetView>
  </s:sheetViews>
  <s:sheetFormatPr baseColWidth="8" defaultRowHeight="15"/>
  <s:cols>
    <s:col width="18" customWidth="1" min="1" max="1"/>
    <s:col width="18" customWidth="1" min="2" max="2"/>
    <s:col width="18" customWidth="1" min="3" max="3"/>
    <s:col width="18" customWidth="1" min="4" max="4"/>
    <s:col width="18" customWidth="1" min="5" max="5"/>
    <s:col width="18" customWidth="1" min="6" max="6"/>
    <s:col width="18" customWidth="1" min="7" max="7"/>
    <s:col width="19" customWidth="1" min="8" max="8"/>
    <s:col width="18" customWidth="1" min="9" max="9"/>
    <s:col width="18" customWidth="1" min="10" max="10"/>
    <s:col width="18" customWidth="1" min="11" max="11"/>
    <s:col width="18" customWidth="1" min="12" max="12"/>
    <s:col width="18" customWidth="1" min="13" max="13"/>
    <s:col width="19" customWidth="1" min="14" max="14"/>
    <s:col width="20" customWidth="1" min="15" max="15"/>
    <s:col width="18" customWidth="1" min="16" max="16"/>
    <s:col width="19" customWidth="1" min="17" max="17"/>
    <s:col width="18" customWidth="1" min="18" max="18"/>
    <s:col width="18" customWidth="1" min="19" max="19"/>
  </s:cols>
  <s:sheetData>
    <s:row r="1" ht="32" customHeight="1">
      <s:c r="A1" s="1" t="inlineStr">
        <s:is>
          <s:t>kpi_result_id</s:t>
        </s:is>
      </s:c>
      <s:c r="B1" s="1" t="inlineStr">
        <s:is>
          <s:t>plan_id</s:t>
        </s:is>
      </s:c>
      <s:c r="C1" s="1" t="inlineStr">
        <s:is>
          <s:t>goal_id</s:t>
        </s:is>
      </s:c>
      <s:c r="D1" s="1" t="inlineStr">
        <s:is>
          <s:t>unit_code</s:t>
        </s:is>
      </s:c>
      <s:c r="E1" s="1" t="inlineStr">
        <s:is>
          <s:t>indicator_code</s:t>
        </s:is>
      </s:c>
      <s:c r="F1" s="1" t="inlineStr">
        <s:is>
          <s:t>period_start</s:t>
        </s:is>
      </s:c>
      <s:c r="G1" s="1" t="inlineStr">
        <s:is>
          <s:t>period_end</s:t>
        </s:is>
      </s:c>
      <s:c r="H1" s="1" t="inlineStr">
        <s:is>
          <s:t>measurement_unit</s:t>
        </s:is>
      </s:c>
      <s:c r="I1" s="1" t="inlineStr">
        <s:is>
          <s:t>direction</s:t>
        </s:is>
      </s:c>
      <s:c r="J1" s="1" t="inlineStr">
        <s:is>
          <s:t>aggregation</s:t>
        </s:is>
      </s:c>
      <s:c r="K1" s="1" t="inlineStr">
        <s:is>
          <s:t>target_value</s:t>
        </s:is>
      </s:c>
      <s:c r="L1" s="1" t="inlineStr">
        <s:is>
          <s:t>actual_value</s:t>
        </s:is>
      </s:c>
      <s:c r="M1" s="1" t="inlineStr">
        <s:is>
          <s:t>sample_count</s:t>
        </s:is>
      </s:c>
      <s:c r="N1" s="1" t="inlineStr">
        <s:is>
          <s:t>unfavourable_gap</s:t>
        </s:is>
      </s:c>
      <s:c r="O1" s="1" t="inlineStr">
        <s:is>
          <s:t>achievement_ratio</s:t>
        </s:is>
      </s:c>
      <s:c r="P1" s="1" t="inlineStr">
        <s:is>
          <s:t>result_status</s:t>
        </s:is>
      </s:c>
      <s:c r="Q1" s="1" t="inlineStr">
        <s:is>
          <s:t>reporting_status</s:t>
        </s:is>
      </s:c>
      <s:c r="R1" s="1" t="inlineStr">
        <s:is>
          <s:t>collected_at</s:t>
        </s:is>
      </s:c>
      <s:c r="S1" s="1" t="inlineStr">
        <s:is>
          <s:t>data_as_of_at</s:t>
        </s:is>
      </s:c>
    </s:row>
    <s:row r="2">
      <s:c r="A2" s="3" t="inlineStr">
        <s:is>
          <s:t>RESULT-1-REVENUE</s:t>
        </s:is>
      </s:c>
      <s:c r="B2" s="3" t="inlineStr">
        <s:is>
          <s:t>PLAN-1-REVENUE</s:t>
        </s:is>
      </s:c>
      <s:c r="C2" s="3" t="inlineStr">
        <s:is>
          <s:t>GOAL-EXPERIENCE-2026</s:t>
        </s:is>
      </s:c>
      <s:c r="D2" s="3" t="inlineStr">
        <s:is>
          <s:t>UNIT-MKT</s:t>
        </s:is>
      </s:c>
      <s:c r="E2" s="3" t="inlineStr">
        <s:is>
          <s:t>REVENUE</s:t>
        </s:is>
      </s:c>
      <s:c r="F2" s="3" t="inlineStr">
        <s:is>
          <s:t>2026-01-01</s:t>
        </s:is>
      </s:c>
      <s:c r="G2" s="3" t="inlineStr">
        <s:is>
          <s:t>2026-01-31</s:t>
        </s:is>
      </s:c>
      <s:c r="H2" s="3" t="inlineStr">
        <s:is>
          <s:t>IDR</s:t>
        </s:is>
      </s:c>
      <s:c r="I2" s="3" t="inlineStr">
        <s:is>
          <s:t>HIGHER_IS_BETTER</s:t>
        </s:is>
      </s:c>
      <s:c r="J2" s="3" t="inlineStr">
        <s:is>
          <s:t>SUM</s:t>
        </s:is>
      </s:c>
      <s:c r="K2" s="4">
        <s:f>SUMIFS('KPI_Plan'!J:J,'KPI_Plan'!A:A,B2)</s:f>
        <s:v>3000000</s:v>
      </s:c>
      <s:c r="L2" s="4">
        <s:f>SUMIFS('KPI_Measurement'!F:F,'KPI_Measurement'!B:B,B2)</s:f>
        <s:v>2400000</s:v>
      </s:c>
      <s:c r="M2" s="2">
        <s:f>COUNTIFS('KPI_Measurement'!B:B,B2)</s:f>
        <s:v>3</s:v>
      </s:c>
      <s:c r="N2" s="4">
        <s:f>IF(I2="HIGHER_IS_BETTER",MAX(0,K2-L2),MAX(0,L2-K2))</s:f>
        <s:v>600000</s:v>
      </s:c>
      <s:c r="O2" s="5">
        <s:f>IF(I2="HIGHER_IS_BETTER",IF(K2&gt;0,L2/K2,""),IF(L2&gt;0,K2/L2,""))</s:f>
        <s:v>0.8</s:v>
      </s:c>
      <s:c r="P2" s="3" t="str">
        <s:f>IF(IF(I2="HIGHER_IS_BETTER",L2&gt;=K2,L2&lt;=K2),"ON_TARGET","BELOW_TARGET")</s:f>
        <s:v>BELOW_TARGET</s:v>
      </s:c>
      <s:c r="Q2" s="3" t="inlineStr">
        <s:is>
          <s:t>FINAL_SIMULATED</s:t>
        </s:is>
      </s:c>
      <s:c r="R2" s="3" t="inlineStr">
        <s:is>
          <s:t>2026-03-03T09:00:00+07:00</s:t>
        </s:is>
      </s:c>
      <s:c r="S2" s="3" t="inlineStr">
        <s:is>
          <s:t>2026-03-03T09:00:00+07:00</s:t>
        </s:is>
      </s:c>
    </s:row>
    <s:row r="3">
      <s:c r="A3" s="3" t="inlineStr">
        <s:is>
          <s:t>RESULT-1-RESOLVED</s:t>
        </s:is>
      </s:c>
      <s:c r="B3" s="3" t="inlineStr">
        <s:is>
          <s:t>PLAN-1-RESOLVED</s:t>
        </s:is>
      </s:c>
      <s:c r="C3" s="3" t="inlineStr">
        <s:is>
          <s:t>GOAL-EXPERIENCE-2026</s:t>
        </s:is>
      </s:c>
      <s:c r="D3" s="3" t="inlineStr">
        <s:is>
          <s:t>UNIT-CS</s:t>
        </s:is>
      </s:c>
      <s:c r="E3" s="3" t="inlineStr">
        <s:is>
          <s:t>RESOLVED</s:t>
        </s:is>
      </s:c>
      <s:c r="F3" s="3" t="inlineStr">
        <s:is>
          <s:t>2026-01-01</s:t>
        </s:is>
      </s:c>
      <s:c r="G3" s="3" t="inlineStr">
        <s:is>
          <s:t>2026-01-31</s:t>
        </s:is>
      </s:c>
      <s:c r="H3" s="3" t="inlineStr">
        <s:is>
          <s:t>CASE</s:t>
        </s:is>
      </s:c>
      <s:c r="I3" s="3" t="inlineStr">
        <s:is>
          <s:t>HIGHER_IS_BETTER</s:t>
        </s:is>
      </s:c>
      <s:c r="J3" s="3" t="inlineStr">
        <s:is>
          <s:t>SUM</s:t>
        </s:is>
      </s:c>
      <s:c r="K3" s="4">
        <s:f>SUMIFS('KPI_Plan'!J:J,'KPI_Plan'!A:A,B3)</s:f>
        <s:v>30</s:v>
      </s:c>
      <s:c r="L3" s="4">
        <s:f>SUMIFS('KPI_Measurement'!F:F,'KPI_Measurement'!B:B,B3)</s:f>
        <s:v>24</s:v>
      </s:c>
      <s:c r="M3" s="2">
        <s:f>COUNTIFS('KPI_Measurement'!B:B,B3)</s:f>
        <s:v>3</s:v>
      </s:c>
      <s:c r="N3" s="4">
        <s:f>IF(I3="HIGHER_IS_BETTER",MAX(0,K3-L3),MAX(0,L3-K3))</s:f>
        <s:v>6</s:v>
      </s:c>
      <s:c r="O3" s="5">
        <s:f>IF(I3="HIGHER_IS_BETTER",IF(K3&gt;0,L3/K3,""),IF(L3&gt;0,K3/L3,""))</s:f>
        <s:v>0.8</s:v>
      </s:c>
      <s:c r="P3" s="3" t="str">
        <s:f>IF(IF(I3="HIGHER_IS_BETTER",L3&gt;=K3,L3&lt;=K3),"ON_TARGET","BELOW_TARGET")</s:f>
        <s:v>BELOW_TARGET</s:v>
      </s:c>
      <s:c r="Q3" s="3" t="inlineStr">
        <s:is>
          <s:t>FINAL_SIMULATED</s:t>
        </s:is>
      </s:c>
      <s:c r="R3" s="3" t="inlineStr">
        <s:is>
          <s:t>2026-03-03T09:00:00+07:00</s:t>
        </s:is>
      </s:c>
      <s:c r="S3" s="3" t="inlineStr">
        <s:is>
          <s:t>2026-03-03T09:00:00+07:00</s:t>
        </s:is>
      </s:c>
    </s:row>
    <s:row r="4">
      <s:c r="A4" s="3" t="inlineStr">
        <s:is>
          <s:t>RESULT-1-RESPONSE_HOURS</s:t>
        </s:is>
      </s:c>
      <s:c r="B4" s="3" t="inlineStr">
        <s:is>
          <s:t>PLAN-1-RESPONSE_HOURS</s:t>
        </s:is>
      </s:c>
      <s:c r="C4" s="3" t="inlineStr">
        <s:is>
          <s:t>GOAL-EXPERIENCE-2026</s:t>
        </s:is>
      </s:c>
      <s:c r="D4" s="3" t="inlineStr">
        <s:is>
          <s:t>UNIT-CS</s:t>
        </s:is>
      </s:c>
      <s:c r="E4" s="3" t="inlineStr">
        <s:is>
          <s:t>RESPONSE_HOURS</s:t>
        </s:is>
      </s:c>
      <s:c r="F4" s="3" t="inlineStr">
        <s:is>
          <s:t>2026-01-01</s:t>
        </s:is>
      </s:c>
      <s:c r="G4" s="3" t="inlineStr">
        <s:is>
          <s:t>2026-01-31</s:t>
        </s:is>
      </s:c>
      <s:c r="H4" s="3" t="inlineStr">
        <s:is>
          <s:t>HOUR</s:t>
        </s:is>
      </s:c>
      <s:c r="I4" s="3" t="inlineStr">
        <s:is>
          <s:t>LOWER_IS_BETTER</s:t>
        </s:is>
      </s:c>
      <s:c r="J4" s="3" t="inlineStr">
        <s:is>
          <s:t>AVG</s:t>
        </s:is>
      </s:c>
      <s:c r="K4" s="4">
        <s:f>SUMIFS('KPI_Plan'!J:J,'KPI_Plan'!A:A,B4)</s:f>
        <s:v>24</s:v>
      </s:c>
      <s:c r="L4" s="4">
        <s:f>AVERAGEIFS('KPI_Measurement'!F:F,'KPI_Measurement'!B:B,B4)</s:f>
        <s:v>30.0</s:v>
      </s:c>
      <s:c r="M4" s="2">
        <s:f>COUNTIFS('KPI_Measurement'!B:B,B4)</s:f>
        <s:v>3</s:v>
      </s:c>
      <s:c r="N4" s="4">
        <s:f>IF(I4="HIGHER_IS_BETTER",MAX(0,K4-L4),MAX(0,L4-K4))</s:f>
        <s:v>6.0</s:v>
      </s:c>
      <s:c r="O4" s="5">
        <s:f>IF(I4="HIGHER_IS_BETTER",IF(K4&gt;0,L4/K4,""),IF(L4&gt;0,K4/L4,""))</s:f>
        <s:v>0.8</s:v>
      </s:c>
      <s:c r="P4" s="3" t="str">
        <s:f>IF(IF(I4="HIGHER_IS_BETTER",L4&gt;=K4,L4&lt;=K4),"ON_TARGET","BELOW_TARGET")</s:f>
        <s:v>BELOW_TARGET</s:v>
      </s:c>
      <s:c r="Q4" s="3" t="inlineStr">
        <s:is>
          <s:t>FINAL_SIMULATED</s:t>
        </s:is>
      </s:c>
      <s:c r="R4" s="3" t="inlineStr">
        <s:is>
          <s:t>2026-03-03T09:00:00+07:00</s:t>
        </s:is>
      </s:c>
      <s:c r="S4" s="3" t="inlineStr">
        <s:is>
          <s:t>2026-03-03T09:00:00+07:00</s:t>
        </s:is>
      </s:c>
    </s:row>
    <s:row r="5">
      <s:c r="A5" s="3" t="inlineStr">
        <s:is>
          <s:t>RESULT-1-SATISFACTION</s:t>
        </s:is>
      </s:c>
      <s:c r="B5" s="3" t="inlineStr">
        <s:is>
          <s:t>PLAN-1-SATISFACTION</s:t>
        </s:is>
      </s:c>
      <s:c r="C5" s="3" t="inlineStr">
        <s:is>
          <s:t>GOAL-EXPERIENCE-2026</s:t>
        </s:is>
      </s:c>
      <s:c r="D5" s="3" t="inlineStr">
        <s:is>
          <s:t>UNIT-CS</s:t>
        </s:is>
      </s:c>
      <s:c r="E5" s="3" t="inlineStr">
        <s:is>
          <s:t>SATISFACTION</s:t>
        </s:is>
      </s:c>
      <s:c r="F5" s="3" t="inlineStr">
        <s:is>
          <s:t>2026-01-01</s:t>
        </s:is>
      </s:c>
      <s:c r="G5" s="3" t="inlineStr">
        <s:is>
          <s:t>2026-01-31</s:t>
        </s:is>
      </s:c>
      <s:c r="H5" s="3" t="inlineStr">
        <s:is>
          <s:t>SCORE_1_5</s:t>
        </s:is>
      </s:c>
      <s:c r="I5" s="3" t="inlineStr">
        <s:is>
          <s:t>HIGHER_IS_BETTER</s:t>
        </s:is>
      </s:c>
      <s:c r="J5" s="3" t="inlineStr">
        <s:is>
          <s:t>AVG</s:t>
        </s:is>
      </s:c>
      <s:c r="K5" s="4">
        <s:f>SUMIFS('KPI_Plan'!J:J,'KPI_Plan'!A:A,B5)</s:f>
        <s:v>4.0</s:v>
      </s:c>
      <s:c r="L5" s="4">
        <s:f>AVERAGEIFS('KPI_Measurement'!F:F,'KPI_Measurement'!B:B,B5)</s:f>
        <s:v>3.333333</s:v>
      </s:c>
      <s:c r="M5" s="2">
        <s:f>COUNTIFS('KPI_Measurement'!B:B,B5)</s:f>
        <s:v>3</s:v>
      </s:c>
      <s:c r="N5" s="4">
        <s:f>IF(I5="HIGHER_IS_BETTER",MAX(0,K5-L5),MAX(0,L5-K5))</s:f>
        <s:v>0.666667</s:v>
      </s:c>
      <s:c r="O5" s="5">
        <s:f>IF(I5="HIGHER_IS_BETTER",IF(K5&gt;0,L5/K5,""),IF(L5&gt;0,K5/L5,""))</s:f>
        <s:v>0.833333</s:v>
      </s:c>
      <s:c r="P5" s="3" t="str">
        <s:f>IF(IF(I5="HIGHER_IS_BETTER",L5&gt;=K5,L5&lt;=K5),"ON_TARGET","BELOW_TARGET")</s:f>
        <s:v>BELOW_TARGET</s:v>
      </s:c>
      <s:c r="Q5" s="3" t="inlineStr">
        <s:is>
          <s:t>FINAL_SIMULATED</s:t>
        </s:is>
      </s:c>
      <s:c r="R5" s="3" t="inlineStr">
        <s:is>
          <s:t>2026-03-03T09:00:00+07:00</s:t>
        </s:is>
      </s:c>
      <s:c r="S5" s="3" t="inlineStr">
        <s:is>
          <s:t>2026-03-03T09:00:00+07:00</s:t>
        </s:is>
      </s:c>
    </s:row>
    <s:row r="6">
      <s:c r="A6" s="3" t="inlineStr">
        <s:is>
          <s:t>RESULT-2-REVENUE</s:t>
        </s:is>
      </s:c>
      <s:c r="B6" s="3" t="inlineStr">
        <s:is>
          <s:t>PLAN-2-REVENUE</s:t>
        </s:is>
      </s:c>
      <s:c r="C6" s="3" t="inlineStr">
        <s:is>
          <s:t>GOAL-EXPERIENCE-2026</s:t>
        </s:is>
      </s:c>
      <s:c r="D6" s="3" t="inlineStr">
        <s:is>
          <s:t>UNIT-MKT</s:t>
        </s:is>
      </s:c>
      <s:c r="E6" s="3" t="inlineStr">
        <s:is>
          <s:t>REVENUE</s:t>
        </s:is>
      </s:c>
      <s:c r="F6" s="3" t="inlineStr">
        <s:is>
          <s:t>2026-02-01</s:t>
        </s:is>
      </s:c>
      <s:c r="G6" s="3" t="inlineStr">
        <s:is>
          <s:t>2026-02-28</s:t>
        </s:is>
      </s:c>
      <s:c r="H6" s="3" t="inlineStr">
        <s:is>
          <s:t>IDR</s:t>
        </s:is>
      </s:c>
      <s:c r="I6" s="3" t="inlineStr">
        <s:is>
          <s:t>HIGHER_IS_BETTER</s:t>
        </s:is>
      </s:c>
      <s:c r="J6" s="3" t="inlineStr">
        <s:is>
          <s:t>SUM</s:t>
        </s:is>
      </s:c>
      <s:c r="K6" s="4">
        <s:f>SUMIFS('KPI_Plan'!J:J,'KPI_Plan'!A:A,B6)</s:f>
        <s:v>3000000</s:v>
      </s:c>
      <s:c r="L6" s="4">
        <s:f>SUMIFS('KPI_Measurement'!F:F,'KPI_Measurement'!B:B,B6)</s:f>
        <s:v>2640000.0</s:v>
      </s:c>
      <s:c r="M6" s="2">
        <s:f>COUNTIFS('KPI_Measurement'!B:B,B6)</s:f>
        <s:v>3</s:v>
      </s:c>
      <s:c r="N6" s="4">
        <s:f>IF(I6="HIGHER_IS_BETTER",MAX(0,K6-L6),MAX(0,L6-K6))</s:f>
        <s:v>360000.0</s:v>
      </s:c>
      <s:c r="O6" s="5">
        <s:f>IF(I6="HIGHER_IS_BETTER",IF(K6&gt;0,L6/K6,""),IF(L6&gt;0,K6/L6,""))</s:f>
        <s:v>0.88</s:v>
      </s:c>
      <s:c r="P6" s="3" t="str">
        <s:f>IF(IF(I6="HIGHER_IS_BETTER",L6&gt;=K6,L6&lt;=K6),"ON_TARGET","BELOW_TARGET")</s:f>
        <s:v>BELOW_TARGET</s:v>
      </s:c>
      <s:c r="Q6" s="3" t="inlineStr">
        <s:is>
          <s:t>FINAL_SIMULATED</s:t>
        </s:is>
      </s:c>
      <s:c r="R6" s="3" t="inlineStr">
        <s:is>
          <s:t>2026-03-03T09:00:00+07:00</s:t>
        </s:is>
      </s:c>
      <s:c r="S6" s="3" t="inlineStr">
        <s:is>
          <s:t>2026-03-03T09:00:00+07:00</s:t>
        </s:is>
      </s:c>
    </s:row>
    <s:row r="7">
      <s:c r="A7" s="3" t="inlineStr">
        <s:is>
          <s:t>RESULT-2-RESOLVED</s:t>
        </s:is>
      </s:c>
      <s:c r="B7" s="3" t="inlineStr">
        <s:is>
          <s:t>PLAN-2-RESOLVED</s:t>
        </s:is>
      </s:c>
      <s:c r="C7" s="3" t="inlineStr">
        <s:is>
          <s:t>GOAL-EXPERIENCE-2026</s:t>
        </s:is>
      </s:c>
      <s:c r="D7" s="3" t="inlineStr">
        <s:is>
          <s:t>UNIT-CS</s:t>
        </s:is>
      </s:c>
      <s:c r="E7" s="3" t="inlineStr">
        <s:is>
          <s:t>RESOLVED</s:t>
        </s:is>
      </s:c>
      <s:c r="F7" s="3" t="inlineStr">
        <s:is>
          <s:t>2026-02-01</s:t>
        </s:is>
      </s:c>
      <s:c r="G7" s="3" t="inlineStr">
        <s:is>
          <s:t>2026-02-28</s:t>
        </s:is>
      </s:c>
      <s:c r="H7" s="3" t="inlineStr">
        <s:is>
          <s:t>CASE</s:t>
        </s:is>
      </s:c>
      <s:c r="I7" s="3" t="inlineStr">
        <s:is>
          <s:t>HIGHER_IS_BETTER</s:t>
        </s:is>
      </s:c>
      <s:c r="J7" s="3" t="inlineStr">
        <s:is>
          <s:t>SUM</s:t>
        </s:is>
      </s:c>
      <s:c r="K7" s="4">
        <s:f>SUMIFS('KPI_Plan'!J:J,'KPI_Plan'!A:A,B7)</s:f>
        <s:v>30</s:v>
      </s:c>
      <s:c r="L7" s="4">
        <s:f>SUMIFS('KPI_Measurement'!F:F,'KPI_Measurement'!B:B,B7)</s:f>
        <s:v>27</s:v>
      </s:c>
      <s:c r="M7" s="2">
        <s:f>COUNTIFS('KPI_Measurement'!B:B,B7)</s:f>
        <s:v>3</s:v>
      </s:c>
      <s:c r="N7" s="4">
        <s:f>IF(I7="HIGHER_IS_BETTER",MAX(0,K7-L7),MAX(0,L7-K7))</s:f>
        <s:v>3</s:v>
      </s:c>
      <s:c r="O7" s="5">
        <s:f>IF(I7="HIGHER_IS_BETTER",IF(K7&gt;0,L7/K7,""),IF(L7&gt;0,K7/L7,""))</s:f>
        <s:v>0.9</s:v>
      </s:c>
      <s:c r="P7" s="3" t="str">
        <s:f>IF(IF(I7="HIGHER_IS_BETTER",L7&gt;=K7,L7&lt;=K7),"ON_TARGET","BELOW_TARGET")</s:f>
        <s:v>BELOW_TARGET</s:v>
      </s:c>
      <s:c r="Q7" s="3" t="inlineStr">
        <s:is>
          <s:t>FINAL_SIMULATED</s:t>
        </s:is>
      </s:c>
      <s:c r="R7" s="3" t="inlineStr">
        <s:is>
          <s:t>2026-03-03T09:00:00+07:00</s:t>
        </s:is>
      </s:c>
      <s:c r="S7" s="3" t="inlineStr">
        <s:is>
          <s:t>2026-03-03T09:00:00+07:00</s:t>
        </s:is>
      </s:c>
    </s:row>
    <s:row r="8">
      <s:c r="A8" s="3" t="inlineStr">
        <s:is>
          <s:t>RESULT-2-RESPONSE_HOURS</s:t>
        </s:is>
      </s:c>
      <s:c r="B8" s="3" t="inlineStr">
        <s:is>
          <s:t>PLAN-2-RESPONSE_HOURS</s:t>
        </s:is>
      </s:c>
      <s:c r="C8" s="3" t="inlineStr">
        <s:is>
          <s:t>GOAL-EXPERIENCE-2026</s:t>
        </s:is>
      </s:c>
      <s:c r="D8" s="3" t="inlineStr">
        <s:is>
          <s:t>UNIT-CS</s:t>
        </s:is>
      </s:c>
      <s:c r="E8" s="3" t="inlineStr">
        <s:is>
          <s:t>RESPONSE_HOURS</s:t>
        </s:is>
      </s:c>
      <s:c r="F8" s="3" t="inlineStr">
        <s:is>
          <s:t>2026-02-01</s:t>
        </s:is>
      </s:c>
      <s:c r="G8" s="3" t="inlineStr">
        <s:is>
          <s:t>2026-02-28</s:t>
        </s:is>
      </s:c>
      <s:c r="H8" s="3" t="inlineStr">
        <s:is>
          <s:t>HOUR</s:t>
        </s:is>
      </s:c>
      <s:c r="I8" s="3" t="inlineStr">
        <s:is>
          <s:t>LOWER_IS_BETTER</s:t>
        </s:is>
      </s:c>
      <s:c r="J8" s="3" t="inlineStr">
        <s:is>
          <s:t>AVG</s:t>
        </s:is>
      </s:c>
      <s:c r="K8" s="4">
        <s:f>SUMIFS('KPI_Plan'!J:J,'KPI_Plan'!A:A,B8)</s:f>
        <s:v>24</s:v>
      </s:c>
      <s:c r="L8" s="4">
        <s:f>AVERAGEIFS('KPI_Measurement'!F:F,'KPI_Measurement'!B:B,B8)</s:f>
        <s:v>24.0</s:v>
      </s:c>
      <s:c r="M8" s="2">
        <s:f>COUNTIFS('KPI_Measurement'!B:B,B8)</s:f>
        <s:v>3</s:v>
      </s:c>
      <s:c r="N8" s="4">
        <s:f>IF(I8="HIGHER_IS_BETTER",MAX(0,K8-L8),MAX(0,L8-K8))</s:f>
        <s:v>0</s:v>
      </s:c>
      <s:c r="O8" s="5">
        <s:f>IF(I8="HIGHER_IS_BETTER",IF(K8&gt;0,L8/K8,""),IF(L8&gt;0,K8/L8,""))</s:f>
        <s:v>1.0</s:v>
      </s:c>
      <s:c r="P8" s="3" t="str">
        <s:f>IF(IF(I8="HIGHER_IS_BETTER",L8&gt;=K8,L8&lt;=K8),"ON_TARGET","BELOW_TARGET")</s:f>
        <s:v>ON_TARGET</s:v>
      </s:c>
      <s:c r="Q8" s="3" t="inlineStr">
        <s:is>
          <s:t>FINAL_SIMULATED</s:t>
        </s:is>
      </s:c>
      <s:c r="R8" s="3" t="inlineStr">
        <s:is>
          <s:t>2026-03-03T09:00:00+07:00</s:t>
        </s:is>
      </s:c>
      <s:c r="S8" s="3" t="inlineStr">
        <s:is>
          <s:t>2026-03-03T09:00:00+07:00</s:t>
        </s:is>
      </s:c>
    </s:row>
    <s:row r="9">
      <s:c r="A9" s="3" t="inlineStr">
        <s:is>
          <s:t>RESULT-2-SATISFACTION</s:t>
        </s:is>
      </s:c>
      <s:c r="B9" s="3" t="inlineStr">
        <s:is>
          <s:t>PLAN-2-SATISFACTION</s:t>
        </s:is>
      </s:c>
      <s:c r="C9" s="3" t="inlineStr">
        <s:is>
          <s:t>GOAL-EXPERIENCE-2026</s:t>
        </s:is>
      </s:c>
      <s:c r="D9" s="3" t="inlineStr">
        <s:is>
          <s:t>UNIT-CS</s:t>
        </s:is>
      </s:c>
      <s:c r="E9" s="3" t="inlineStr">
        <s:is>
          <s:t>SATISFACTION</s:t>
        </s:is>
      </s:c>
      <s:c r="F9" s="3" t="inlineStr">
        <s:is>
          <s:t>2026-02-01</s:t>
        </s:is>
      </s:c>
      <s:c r="G9" s="3" t="inlineStr">
        <s:is>
          <s:t>2026-02-28</s:t>
        </s:is>
      </s:c>
      <s:c r="H9" s="3" t="inlineStr">
        <s:is>
          <s:t>SCORE_1_5</s:t>
        </s:is>
      </s:c>
      <s:c r="I9" s="3" t="inlineStr">
        <s:is>
          <s:t>HIGHER_IS_BETTER</s:t>
        </s:is>
      </s:c>
      <s:c r="J9" s="3" t="inlineStr">
        <s:is>
          <s:t>AVG</s:t>
        </s:is>
      </s:c>
      <s:c r="K9" s="4">
        <s:f>SUMIFS('KPI_Plan'!J:J,'KPI_Plan'!A:A,B9)</s:f>
        <s:v>4.0</s:v>
      </s:c>
      <s:c r="L9" s="4">
        <s:f>AVERAGEIFS('KPI_Measurement'!F:F,'KPI_Measurement'!B:B,B9)</s:f>
        <s:v>3.666667</s:v>
      </s:c>
      <s:c r="M9" s="2">
        <s:f>COUNTIFS('KPI_Measurement'!B:B,B9)</s:f>
        <s:v>3</s:v>
      </s:c>
      <s:c r="N9" s="4">
        <s:f>IF(I9="HIGHER_IS_BETTER",MAX(0,K9-L9),MAX(0,L9-K9))</s:f>
        <s:v>0.333333</s:v>
      </s:c>
      <s:c r="O9" s="5">
        <s:f>IF(I9="HIGHER_IS_BETTER",IF(K9&gt;0,L9/K9,""),IF(L9&gt;0,K9/L9,""))</s:f>
        <s:v>0.916667</s:v>
      </s:c>
      <s:c r="P9" s="3" t="str">
        <s:f>IF(IF(I9="HIGHER_IS_BETTER",L9&gt;=K9,L9&lt;=K9),"ON_TARGET","BELOW_TARGET")</s:f>
        <s:v>BELOW_TARGET</s:v>
      </s:c>
      <s:c r="Q9" s="3" t="inlineStr">
        <s:is>
          <s:t>FINAL_SIMULATED</s:t>
        </s:is>
      </s:c>
      <s:c r="R9" s="3" t="inlineStr">
        <s:is>
          <s:t>2026-03-03T09:00:00+07:00</s:t>
        </s:is>
      </s:c>
      <s:c r="S9" s="3" t="inlineStr">
        <s:is>
          <s:t>2026-03-03T09:00:00+07:00</s:t>
        </s:is>
      </s:c>
    </s:row>
  </s:sheetData>
  <s:autoFilter ref="A1:S9"/>
  <s:dataValidations count="2">
    <s:dataValidation sqref="D2:D1001" showDropDown="0" showInputMessage="0" showErrorMessage="1" allowBlank="0" errorTitle="Kode belum ada di master" error="Pilih kode rujukan yang sah; master baru harus direview sebelum dipakai." type="list">
      <s:formula1>=REF_unit_code</s:formula1>
    </s:dataValidation>
    <s:dataValidation sqref="E2:E1001" showDropDown="0" showInputMessage="0" showErrorMessage="1" allowBlank="0" errorTitle="Kode belum ada di master" error="Pilih kode rujukan yang sah; master baru harus direview sebelum dipakai." type="list">
      <s:formula1>=REF_indicator_code</s:formula1>
    </s:dataValidation>
  </s:dataValidations>
  <s:pageMargins left="0.75" right="0.75" top="1" bottom="1" header="0.5" footer="0.5"/>
  <s:tableParts count="1">
    <s:tablePart r:id="rId1"/>
  </s:tableParts>
</s:worksheet>
</file>

<file path=xl/worksheets/sheet10.xml><?xml version="1.0" encoding="utf-8"?>
<worksheet xmlns="http://schemas.openxmlformats.org/spreadsheetml/2006/main">
  <sheetPr>
    <tabColor rgb="002563EB"/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9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9" customWidth="1" min="10" max="10"/>
    <col width="18" customWidth="1" min="11" max="11"/>
    <col width="19" customWidth="1" min="12" max="12"/>
    <col width="18" customWidth="1" min="13" max="13"/>
    <col width="18" customWidth="1" min="14" max="14"/>
    <col width="21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22" customWidth="1" min="22" max="22"/>
    <col width="18" customWidth="1" min="23" max="23"/>
  </cols>
  <sheetData>
    <row r="1" ht="32" customHeight="1">
      <c r="A1" s="1" t="inlineStr">
        <is>
          <t>action_id</t>
        </is>
      </c>
      <c r="B1" s="1" t="inlineStr">
        <is>
          <t>source_sheet</t>
        </is>
      </c>
      <c r="C1" s="1" t="inlineStr">
        <is>
          <t>source_record_id</t>
        </is>
      </c>
      <c r="D1" s="1" t="inlineStr">
        <is>
          <t>unit_code</t>
        </is>
      </c>
      <c r="E1" s="1" t="inlineStr">
        <is>
          <t>indicator_code</t>
        </is>
      </c>
      <c r="F1" s="1" t="inlineStr">
        <is>
          <t>period_start</t>
        </is>
      </c>
      <c r="G1" s="1" t="inlineStr">
        <is>
          <t>period_end</t>
        </is>
      </c>
      <c r="H1" s="1" t="inlineStr">
        <is>
          <t>baseline_value</t>
        </is>
      </c>
      <c r="I1" s="1" t="inlineStr">
        <is>
          <t>target_value</t>
        </is>
      </c>
      <c r="J1" s="1" t="inlineStr">
        <is>
          <t>measurement_unit</t>
        </is>
      </c>
      <c r="K1" s="1" t="inlineStr">
        <is>
          <t>finding</t>
        </is>
      </c>
      <c r="L1" s="1" t="inlineStr">
        <is>
          <t>cause_hypothesis</t>
        </is>
      </c>
      <c r="M1" s="1" t="inlineStr">
        <is>
          <t>cause_status</t>
        </is>
      </c>
      <c r="N1" s="1" t="inlineStr">
        <is>
          <t>evidence_ref</t>
        </is>
      </c>
      <c r="O1" s="1" t="inlineStr">
        <is>
          <t>action_description</t>
        </is>
      </c>
      <c r="P1" s="1" t="inlineStr">
        <is>
          <t>owner_team_code</t>
        </is>
      </c>
      <c r="Q1" s="1" t="inlineStr">
        <is>
          <t>due_date</t>
        </is>
      </c>
      <c r="R1" s="1" t="inlineStr">
        <is>
          <t>action_status</t>
        </is>
      </c>
      <c r="S1" s="1" t="inlineStr">
        <is>
          <t>followup_start</t>
        </is>
      </c>
      <c r="T1" s="1" t="inlineStr">
        <is>
          <t>followup_end</t>
        </is>
      </c>
      <c r="U1" s="1" t="inlineStr">
        <is>
          <t>followup_value</t>
        </is>
      </c>
      <c r="V1" s="1" t="inlineStr">
        <is>
          <t>verification_status</t>
        </is>
      </c>
      <c r="W1" s="1" t="inlineStr">
        <is>
          <t>collected_at</t>
        </is>
      </c>
    </row>
    <row r="2">
      <c r="A2" s="3" t="inlineStr">
        <is>
          <t>ACT-KPI-01</t>
        </is>
      </c>
      <c r="B2" s="3" t="inlineStr">
        <is>
          <t>KPI_Result</t>
        </is>
      </c>
      <c r="C2" s="3" t="inlineStr">
        <is>
          <t>RESULT-1-RESPONSE_HOURS</t>
        </is>
      </c>
      <c r="D2" s="3" t="inlineStr">
        <is>
          <t>UNIT-CS</t>
        </is>
      </c>
      <c r="E2" s="3" t="inlineStr">
        <is>
          <t>RESPONSE_HOURS</t>
        </is>
      </c>
      <c r="F2" s="3" t="inlineStr">
        <is>
          <t>2026-01-01</t>
        </is>
      </c>
      <c r="G2" s="3" t="inlineStr">
        <is>
          <t>2026-01-31</t>
        </is>
      </c>
      <c r="H2" s="4" t="n">
        <v>30</v>
      </c>
      <c r="I2" s="4" t="n">
        <v>24</v>
      </c>
      <c r="J2" s="3" t="inlineStr">
        <is>
          <t>HOUR</t>
        </is>
      </c>
      <c r="K2" s="3" t="inlineStr">
        <is>
          <t>Rata-rata respons 30 jam dibanding target contoh maksimal 24 jam.</t>
        </is>
      </c>
      <c r="L2" s="3" t="inlineStr">
        <is>
          <t>Antrean layanan masih hipotesis; contoh hanya 3 pengukuran.</t>
        </is>
      </c>
      <c r="M2" s="3" t="inlineStr">
        <is>
          <t>UNVERIFIED</t>
        </is>
      </c>
      <c r="N2" s="3" t="inlineStr">
        <is>
          <t>SIMULASI::KPI_Result::RESULT-1-RESPONSE_HOURS</t>
        </is>
      </c>
      <c r="O2" s="3" t="inlineStr">
        <is>
          <t>Verifikasi sampel dan proses antrean, uji alokasi petugas, lalu ukur respons dengan metode dan cakupan yang sama.</t>
        </is>
      </c>
      <c r="P2" s="3" t="inlineStr">
        <is>
          <t>TEAM-CS</t>
        </is>
      </c>
      <c r="Q2" s="3" t="inlineStr">
        <is>
          <t>2026-02-15</t>
        </is>
      </c>
      <c r="R2" s="3" t="inlineStr">
        <is>
          <t>PLANNED</t>
        </is>
      </c>
      <c r="S2" s="3" t="inlineStr">
        <is>
          <t>2026-02-01</t>
        </is>
      </c>
      <c r="T2" s="3" t="inlineStr">
        <is>
          <t>2026-02-28</t>
        </is>
      </c>
      <c r="U2" s="4" t="n"/>
      <c r="V2" s="3" t="inlineStr">
        <is>
          <t>NOT_EVALUATED</t>
        </is>
      </c>
      <c r="W2" s="3" t="inlineStr">
        <is>
          <t>2026-02-02T09:00:00+07:00</t>
        </is>
      </c>
    </row>
  </sheetData>
  <autoFilter ref="A1:W2"/>
  <dataValidations count="3">
    <dataValidation sqref="D2:D1001" showDropDown="0" showInputMessage="0" showErrorMessage="1" allowBlank="0" errorTitle="Kode belum ada di master" error="Pilih kode rujukan yang sah; master baru harus direview sebelum dipakai." type="list">
      <formula1>=REF_unit_code</formula1>
    </dataValidation>
    <dataValidation sqref="E2:E1001" showDropDown="0" showInputMessage="0" showErrorMessage="1" allowBlank="0" errorTitle="Kode belum ada di master" error="Pilih kode rujukan yang sah; master baru harus direview sebelum dipakai." type="list">
      <formula1>=REF_indicator_code</formula1>
    </dataValidation>
    <dataValidation sqref="P2:P1001" showDropDown="0" showInputMessage="0" showErrorMessage="1" allowBlank="0" errorTitle="Kode belum ada di master" error="Pilih kode rujukan yang sah; master baru harus direview sebelum dipakai." type="list">
      <formula1>=REF_owner_team_code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Google Sheet AI - contoh offline</dc:creator>
  <dc:title>CONTOH FIKTIF - Data plan, goal dan pencapaian KPI</dc:title>
  <dcterms:created xsi:type="dcterms:W3CDTF">2026-03-03T02:00:00Z</dcterms:created>
  <dcterms:modified xsi:type="dcterms:W3CDTF">2026-03-03T02:00:00Z</dcterms:modified>
</cp:coreProperties>
</file>